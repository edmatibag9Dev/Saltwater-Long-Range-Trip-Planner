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s" sheetId="1" state="visible" r:id="rId3"/>
    <sheet name="My Catch Log" sheetId="2" state="visible" r:id="rId4"/>
    <sheet name="Trip Summary" sheetId="3" state="visible" r:id="rId5"/>
    <sheet name="Quick Estima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<sst xmlns="http://schemas.openxmlformats.org/spreadsheetml/2006/main" count="145" uniqueCount="87">
  <si>
    <t xml:space="preserve">PROCESSING RATES</t>
  </si>
  <si>
    <t xml:space="preserve">Edit cream cells when pricing changes — every sheet recalculates from this table.</t>
  </si>
  <si>
    <t xml:space="preserve">Rates as of:</t>
  </si>
  <si>
    <t xml:space="preserve">June 2026</t>
  </si>
  <si>
    <t xml:space="preserve">Service</t>
  </si>
  <si>
    <t xml:space="preserve">Fisherman's</t>
  </si>
  <si>
    <t xml:space="preserve">Five Star</t>
  </si>
  <si>
    <t xml:space="preserve">Unit</t>
  </si>
  <si>
    <t xml:space="preserve">Fillet + vac — 12 lb+</t>
  </si>
  <si>
    <t xml:space="preserve">$/lb</t>
  </si>
  <si>
    <t xml:space="preserve">Fillet + vac — under 12 lb</t>
  </si>
  <si>
    <t xml:space="preserve">Smoked</t>
  </si>
  <si>
    <t xml:space="preserve">Jerky</t>
  </si>
  <si>
    <t xml:space="preserve">Canned</t>
  </si>
  <si>
    <t xml:space="preserve">Collars</t>
  </si>
  <si>
    <t xml:space="preserve">$/ea</t>
  </si>
  <si>
    <t xml:space="preserve">Gill &amp; gut</t>
  </si>
  <si>
    <t xml:space="preserve">Setting</t>
  </si>
  <si>
    <t xml:space="preserve">Deposit (prepaid)</t>
  </si>
  <si>
    <t xml:space="preserve">$</t>
  </si>
  <si>
    <t xml:space="preserve">Credit-card fee</t>
  </si>
  <si>
    <t xml:space="preserve">%</t>
  </si>
  <si>
    <t xml:space="preserve">Ships boxes? (1=yes)</t>
  </si>
  <si>
    <t xml:space="preserve">Box price (medium)</t>
  </si>
  <si>
    <t xml:space="preserve">Handling (up to 2 boxes)</t>
  </si>
  <si>
    <t xml:space="preserve">Extra-box fee (&gt;2)</t>
  </si>
  <si>
    <t xml:space="preserve">Value-added minimum — PER FISH (smoke, jerky AND canning)</t>
  </si>
  <si>
    <t xml:space="preserve">lb</t>
  </si>
  <si>
    <t xml:space="preserve">Under-12 tier threshold</t>
  </si>
  <si>
    <t xml:space="preserve">Borderline flag range (lb)</t>
  </si>
  <si>
    <t xml:space="preserve">Species</t>
  </si>
  <si>
    <t xml:space="preserve">Under-12 eligible</t>
  </si>
  <si>
    <t xml:space="preserve">Smoke</t>
  </si>
  <si>
    <t xml:space="preserve">Can</t>
  </si>
  <si>
    <t xml:space="preserve">Yellowtail</t>
  </si>
  <si>
    <t xml:space="preserve">Bluefin Tuna</t>
  </si>
  <si>
    <t xml:space="preserve">Yellowfin Tuna</t>
  </si>
  <si>
    <t xml:space="preserve">Wahoo</t>
  </si>
  <si>
    <t xml:space="preserve">Dorado</t>
  </si>
  <si>
    <t xml:space="preserve">White Seabass</t>
  </si>
  <si>
    <t xml:space="preserve">Halibut</t>
  </si>
  <si>
    <t xml:space="preserve">Lingcod</t>
  </si>
  <si>
    <t xml:space="preserve">Rockfish</t>
  </si>
  <si>
    <t xml:space="preserve">Eligibility is species-gated per catch-logger engine.js (canonical). Bluefin, Wahoo, White Seabass NEVER price at the under-12 rate regardless of weight. Source: Fisherman's Processing + Five Star published price sheets, June 2026; per-fish 15 lb rule confirmed with Fisherman's stated policy, July 2026 (SPEC-catch-log.md §3).</t>
  </si>
  <si>
    <t xml:space="preserve">MY CATCH LOG — ONE ROW PER KEPT FISH</t>
  </si>
  <si>
    <t xml:space="preserve">Cost rules match Catch Logger v2 (engine.js is canonical): the 15 lb value-added minimum is PER FISH — pounds do NOT pool across fish. Smoke/jerky/can pounds you enter on a row are drawn from THAT fish only; anything under 15 lb or not offered for the species bills as fillet and is flagged ✗.</t>
  </si>
  <si>
    <t xml:space="preserve">HOW TO USE — cream cells are yours: Day (1–8), Species (pick from list), Whole lb, and any smoke/jerky/can pounds from that fish. Grey cells compute. Row 6 is an EXAMPLE — overwrite it with your first fish.</t>
  </si>
  <si>
    <t xml:space="preserve">Rail weights are estimates — the processor's scale is the truth. Confirm rates before each trip (Rates sheet).</t>
  </si>
  <si>
    <t xml:space="preserve">Day</t>
  </si>
  <si>
    <t xml:space="preserve">Whole lb</t>
  </si>
  <si>
    <t xml:space="preserve">Smoke lb</t>
  </si>
  <si>
    <t xml:space="preserve">Jerky lb</t>
  </si>
  <si>
    <t xml:space="preserve">Can lb</t>
  </si>
  <si>
    <t xml:space="preserve">Check</t>
  </si>
  <si>
    <t xml:space="preserve">Under-12?</t>
  </si>
  <si>
    <t xml:space="preserve">Fillet lb</t>
  </si>
  <si>
    <t xml:space="preserve">Fisherman's $</t>
  </si>
  <si>
    <t xml:space="preserve">Five Star $</t>
  </si>
  <si>
    <t xml:space="preserve">idx</t>
  </si>
  <si>
    <t xml:space="preserve">smApp</t>
  </si>
  <si>
    <t xml:space="preserve">jkApp</t>
  </si>
  <si>
    <t xml:space="preserve">cnApp</t>
  </si>
  <si>
    <t xml:space="preserve">u12</t>
  </si>
  <si>
    <t xml:space="preserve">TRIP SUMMARY</t>
  </si>
  <si>
    <t xml:space="preserve">Everything here derives from My Catch Log. Card fee and Fisherman's $100 prepaid deposit apply ONCE, at trip level (one dock drop-off). Cheaper is judged on the processing subtotal.</t>
  </si>
  <si>
    <t xml:space="preserve">Pay:</t>
  </si>
  <si>
    <t xml:space="preserve">cash</t>
  </si>
  <si>
    <t xml:space="preserve">Fish</t>
  </si>
  <si>
    <t xml:space="preserve">Lb</t>
  </si>
  <si>
    <t xml:space="preserve">Cheaper</t>
  </si>
  <si>
    <t xml:space="preserve">TRIP TOTAL</t>
  </si>
  <si>
    <t xml:space="preserve">Trip extras (dock drop-off)</t>
  </si>
  <si>
    <t xml:space="preserve">Collars (ea)</t>
  </si>
  <si>
    <t xml:space="preserve">Gill &amp; gut (lb)</t>
  </si>
  <si>
    <t xml:space="preserve">Ship: medium boxes (FP only)</t>
  </si>
  <si>
    <t xml:space="preserve">Processing subtotal</t>
  </si>
  <si>
    <t xml:space="preserve">+ Card fee (if paying card)</t>
  </si>
  <si>
    <t xml:space="preserve">EST. TOTAL</t>
  </si>
  <si>
    <t xml:space="preserve">Net due (less prepaid deposit)</t>
  </si>
  <si>
    <t xml:space="preserve">Shipping (FP only — billed separately)</t>
  </si>
  <si>
    <t xml:space="preserve">quote sep.</t>
  </si>
  <si>
    <t xml:space="preserve">CHEAPER (on processing subtotal)</t>
  </si>
  <si>
    <t xml:space="preserve">SPECIES TOTALS — compliance count + value-added actually applied</t>
  </si>
  <si>
    <t xml:space="preserve">Under-12 lb</t>
  </si>
  <si>
    <t xml:space="preserve">Under-12 lb uses SUMPRODUCT over the log's u12 helper — engine-identical species gating.</t>
  </si>
  <si>
    <t xml:space="preserve">QUICK ESTIMATE — PER FISH</t>
  </si>
  <si>
    <t xml:space="preserve">One-off estimate (e.g. for another fisherman). One row per fish — same engine rules: 15 lb value-added minimum PER FISH, species-gated tiers. Nothing here touches your catch log.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</si>
</sst>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"/>
    <numFmt numFmtId="167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Fraunces"/>
      <family val="0"/>
      <charset val="1"/>
    </font>
    <font>
      <i val="true"/>
      <sz val="9"/>
      <color rgb="FF5C6671"/>
      <name val="Inter"/>
      <family val="0"/>
      <charset val="1"/>
    </font>
    <font>
      <b val="true"/>
      <sz val="10"/>
      <color rgb="FF2B4C7E"/>
      <name val="Inter"/>
      <family val="0"/>
      <charset val="1"/>
    </font>
    <font>
      <b val="true"/>
      <sz val="10"/>
      <color rgb="FFFFFFFF"/>
      <name val="Inter"/>
      <family val="0"/>
      <charset val="1"/>
    </font>
    <font>
      <sz val="10"/>
      <color rgb="FF1E2A33"/>
      <name val="Inter"/>
      <family val="0"/>
      <charset val="1"/>
    </font>
    <font>
      <sz val="10"/>
      <color rgb="FF1E2A33"/>
      <name val="IBM Plex Mono"/>
      <family val="0"/>
      <charset val="1"/>
    </font>
    <font>
      <b val="true"/>
      <sz val="11"/>
      <color rgb="FF15803D"/>
      <name val="Inter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B4C7E"/>
        <bgColor rgb="FF003366"/>
      </patternFill>
    </fill>
    <fill>
      <patternFill patternType="solid">
        <fgColor rgb="FFFFF8E7"/>
        <bgColor rgb="FFFFFFFF"/>
      </patternFill>
    </fill>
    <fill>
      <patternFill patternType="solid">
        <fgColor rgb="FF2C7A6B"/>
        <bgColor rgb="FF15803D"/>
      </patternFill>
    </fill>
    <fill>
      <patternFill patternType="solid">
        <fgColor rgb="FFF0EDE6"/>
        <bgColor rgb="FFFFF8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E0D7"/>
      </left>
      <right style="thin">
        <color rgb="FFE4E0D7"/>
      </right>
      <top style="thin">
        <color rgb="FFE4E0D7"/>
      </top>
      <bottom style="thin">
        <color rgb="FFE4E0D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Inter"/>
        <charset val="1"/>
        <family val="0"/>
        <color rgb="FFDC2626"/>
        <sz val="10"/>
      </font>
    </dxf>
    <dxf>
      <font>
        <name val="Inter"/>
        <charset val="1"/>
        <family val="0"/>
        <color rgb="FFB45309"/>
        <sz val="10"/>
      </font>
    </dxf>
    <dxf>
      <font>
        <name val="Inter"/>
        <charset val="1"/>
        <family val="0"/>
        <color rgb="FF15803D"/>
        <sz val="10"/>
      </font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7"/>
      <rgbColor rgb="FFF0EDE6"/>
      <rgbColor rgb="FF660066"/>
      <rgbColor rgb="FFFF8080"/>
      <rgbColor rgb="FF0066CC"/>
      <rgbColor rgb="FFE4E0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671"/>
      <rgbColor rgb="FF969696"/>
      <rgbColor rgb="FF003366"/>
      <rgbColor rgb="FF2C7A6B"/>
      <rgbColor rgb="FF003300"/>
      <rgbColor rgb="FF333300"/>
      <rgbColor rgb="FFB45309"/>
      <rgbColor rgb="FF993366"/>
      <rgbColor rgb="FF2B4C7E"/>
      <rgbColor rgb="FF1E2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  <c r="B3" s="5" t="s">
        <v>3</v>
      </c>
    </row>
    <row r="5" customFormat="false" ht="15" hidden="false" customHeight="false" outlineLevel="0" collapsed="false">
      <c r="A5" s="6" t="s">
        <v>4</v>
      </c>
      <c r="B5" s="6" t="s">
        <v>5</v>
      </c>
      <c r="C5" s="6" t="s">
        <v>6</v>
      </c>
      <c r="D5" s="6" t="s">
        <v>7</v>
      </c>
    </row>
    <row r="6" customFormat="false" ht="15" hidden="false" customHeight="false" outlineLevel="0" collapsed="false">
      <c r="A6" s="7" t="s">
        <v>8</v>
      </c>
      <c r="B6" s="8" t="n">
        <v>1.95</v>
      </c>
      <c r="C6" s="8" t="n">
        <v>1.97</v>
      </c>
      <c r="D6" s="3" t="s">
        <v>9</v>
      </c>
    </row>
    <row r="7" customFormat="false" ht="15" hidden="false" customHeight="false" outlineLevel="0" collapsed="false">
      <c r="A7" s="7" t="s">
        <v>10</v>
      </c>
      <c r="B7" s="8" t="n">
        <v>2.8</v>
      </c>
      <c r="C7" s="8" t="n">
        <v>1.97</v>
      </c>
      <c r="D7" s="3" t="s">
        <v>9</v>
      </c>
    </row>
    <row r="8" customFormat="false" ht="15" hidden="false" customHeight="false" outlineLevel="0" collapsed="false">
      <c r="A8" s="7" t="s">
        <v>11</v>
      </c>
      <c r="B8" s="8" t="n">
        <v>3.5</v>
      </c>
      <c r="C8" s="8" t="n">
        <v>2.75</v>
      </c>
      <c r="D8" s="3" t="s">
        <v>9</v>
      </c>
    </row>
    <row r="9" customFormat="false" ht="15" hidden="false" customHeight="false" outlineLevel="0" collapsed="false">
      <c r="A9" s="7" t="s">
        <v>12</v>
      </c>
      <c r="B9" s="8" t="n">
        <v>4.5</v>
      </c>
      <c r="C9" s="8" t="n">
        <v>3.75</v>
      </c>
      <c r="D9" s="3" t="s">
        <v>9</v>
      </c>
    </row>
    <row r="10" customFormat="false" ht="15" hidden="false" customHeight="false" outlineLevel="0" collapsed="false">
      <c r="A10" s="7" t="s">
        <v>13</v>
      </c>
      <c r="B10" s="8" t="n">
        <v>5.5</v>
      </c>
      <c r="C10" s="8" t="n">
        <v>5.5</v>
      </c>
      <c r="D10" s="3" t="s">
        <v>9</v>
      </c>
    </row>
    <row r="11" customFormat="false" ht="15" hidden="false" customHeight="false" outlineLevel="0" collapsed="false">
      <c r="A11" s="7" t="s">
        <v>14</v>
      </c>
      <c r="B11" s="8" t="n">
        <v>5</v>
      </c>
      <c r="C11" s="8" t="n">
        <v>5.19</v>
      </c>
      <c r="D11" s="3" t="s">
        <v>15</v>
      </c>
    </row>
    <row r="12" customFormat="false" ht="15" hidden="false" customHeight="false" outlineLevel="0" collapsed="false">
      <c r="A12" s="7" t="s">
        <v>16</v>
      </c>
      <c r="B12" s="8" t="n">
        <v>1.55</v>
      </c>
      <c r="C12" s="8" t="n">
        <v>1.5</v>
      </c>
      <c r="D12" s="3" t="s">
        <v>9</v>
      </c>
    </row>
    <row r="14" customFormat="false" ht="15" hidden="false" customHeight="false" outlineLevel="0" collapsed="false">
      <c r="A14" s="6" t="s">
        <v>17</v>
      </c>
      <c r="B14" s="6" t="s">
        <v>5</v>
      </c>
      <c r="C14" s="6" t="s">
        <v>6</v>
      </c>
      <c r="D14" s="6"/>
    </row>
    <row r="15" customFormat="false" ht="15" hidden="false" customHeight="false" outlineLevel="0" collapsed="false">
      <c r="A15" s="7" t="s">
        <v>18</v>
      </c>
      <c r="B15" s="9" t="n">
        <v>100</v>
      </c>
      <c r="C15" s="9" t="n">
        <v>0</v>
      </c>
      <c r="D15" s="3" t="s">
        <v>19</v>
      </c>
    </row>
    <row r="16" customFormat="false" ht="15" hidden="false" customHeight="false" outlineLevel="0" collapsed="false">
      <c r="A16" s="7" t="s">
        <v>20</v>
      </c>
      <c r="B16" s="10" t="n">
        <v>0.03</v>
      </c>
      <c r="C16" s="10" t="n">
        <v>0.0395</v>
      </c>
      <c r="D16" s="3" t="s">
        <v>21</v>
      </c>
    </row>
    <row r="17" customFormat="false" ht="15" hidden="false" customHeight="false" outlineLevel="0" collapsed="false">
      <c r="A17" s="7" t="s">
        <v>22</v>
      </c>
      <c r="B17" s="9" t="n">
        <v>1</v>
      </c>
      <c r="C17" s="9" t="n">
        <v>0</v>
      </c>
      <c r="D17" s="3"/>
    </row>
    <row r="18" customFormat="false" ht="15" hidden="false" customHeight="false" outlineLevel="0" collapsed="false">
      <c r="A18" s="7" t="s">
        <v>23</v>
      </c>
      <c r="B18" s="9" t="n">
        <v>65</v>
      </c>
      <c r="C18" s="9" t="n">
        <v>0</v>
      </c>
      <c r="D18" s="3" t="s">
        <v>19</v>
      </c>
    </row>
    <row r="19" customFormat="false" ht="15" hidden="false" customHeight="false" outlineLevel="0" collapsed="false">
      <c r="A19" s="7" t="s">
        <v>24</v>
      </c>
      <c r="B19" s="9" t="n">
        <v>75</v>
      </c>
      <c r="C19" s="9" t="n">
        <v>0</v>
      </c>
      <c r="D19" s="3" t="s">
        <v>19</v>
      </c>
    </row>
    <row r="20" customFormat="false" ht="15" hidden="false" customHeight="false" outlineLevel="0" collapsed="false">
      <c r="A20" s="7" t="s">
        <v>25</v>
      </c>
      <c r="B20" s="9" t="n">
        <v>10</v>
      </c>
      <c r="C20" s="9" t="n">
        <v>0</v>
      </c>
      <c r="D20" s="3" t="s">
        <v>19</v>
      </c>
    </row>
    <row r="22" customFormat="false" ht="15" hidden="false" customHeight="false" outlineLevel="0" collapsed="false">
      <c r="A22" s="4" t="s">
        <v>26</v>
      </c>
      <c r="B22" s="5" t="n">
        <v>15</v>
      </c>
      <c r="C22" s="3" t="s">
        <v>27</v>
      </c>
    </row>
    <row r="23" customFormat="false" ht="15" hidden="false" customHeight="false" outlineLevel="0" collapsed="false">
      <c r="A23" s="4" t="s">
        <v>28</v>
      </c>
      <c r="B23" s="5" t="n">
        <v>12</v>
      </c>
      <c r="C23" s="3" t="s">
        <v>27</v>
      </c>
    </row>
    <row r="24" customFormat="false" ht="15" hidden="false" customHeight="false" outlineLevel="0" collapsed="false">
      <c r="A24" s="4" t="s">
        <v>29</v>
      </c>
      <c r="B24" s="5" t="n">
        <v>10</v>
      </c>
      <c r="C24" s="5" t="n">
        <v>14</v>
      </c>
    </row>
    <row r="26" customFormat="false" ht="15" hidden="false" customHeight="false" outlineLevel="0" collapsed="false">
      <c r="A26" s="6" t="s">
        <v>30</v>
      </c>
      <c r="B26" s="6" t="s">
        <v>31</v>
      </c>
      <c r="C26" s="6" t="s">
        <v>32</v>
      </c>
      <c r="D26" s="6" t="s">
        <v>12</v>
      </c>
      <c r="E26" s="6" t="s">
        <v>33</v>
      </c>
    </row>
    <row r="27" customFormat="false" ht="15" hidden="false" customHeight="false" outlineLevel="0" collapsed="false">
      <c r="A27" s="7" t="s">
        <v>34</v>
      </c>
      <c r="B27" s="11" t="n">
        <v>1</v>
      </c>
      <c r="C27" s="11" t="n">
        <v>1</v>
      </c>
      <c r="D27" s="11" t="n">
        <v>0</v>
      </c>
      <c r="E27" s="11" t="n">
        <v>0</v>
      </c>
    </row>
    <row r="28" customFormat="false" ht="15" hidden="false" customHeight="false" outlineLevel="0" collapsed="false">
      <c r="A28" s="7" t="s">
        <v>35</v>
      </c>
      <c r="B28" s="11" t="n">
        <v>0</v>
      </c>
      <c r="C28" s="11" t="n">
        <v>1</v>
      </c>
      <c r="D28" s="11" t="n">
        <v>1</v>
      </c>
      <c r="E28" s="11" t="n">
        <v>1</v>
      </c>
    </row>
    <row r="29" customFormat="false" ht="15" hidden="false" customHeight="false" outlineLevel="0" collapsed="false">
      <c r="A29" s="7" t="s">
        <v>36</v>
      </c>
      <c r="B29" s="11" t="n">
        <v>1</v>
      </c>
      <c r="C29" s="11" t="n">
        <v>1</v>
      </c>
      <c r="D29" s="11" t="n">
        <v>1</v>
      </c>
      <c r="E29" s="11" t="n">
        <v>1</v>
      </c>
    </row>
    <row r="30" customFormat="false" ht="15" hidden="false" customHeight="false" outlineLevel="0" collapsed="false">
      <c r="A30" s="7" t="s">
        <v>37</v>
      </c>
      <c r="B30" s="11" t="n">
        <v>0</v>
      </c>
      <c r="C30" s="11" t="n">
        <v>1</v>
      </c>
      <c r="D30" s="11" t="n">
        <v>0</v>
      </c>
      <c r="E30" s="11" t="n">
        <v>0</v>
      </c>
    </row>
    <row r="31" customFormat="false" ht="15" hidden="false" customHeight="false" outlineLevel="0" collapsed="false">
      <c r="A31" s="7" t="s">
        <v>38</v>
      </c>
      <c r="B31" s="11" t="n">
        <v>1</v>
      </c>
      <c r="C31" s="11" t="n">
        <v>0</v>
      </c>
      <c r="D31" s="11" t="n">
        <v>0</v>
      </c>
      <c r="E31" s="11" t="n">
        <v>0</v>
      </c>
    </row>
    <row r="32" customFormat="false" ht="15" hidden="false" customHeight="false" outlineLevel="0" collapsed="false">
      <c r="A32" s="7" t="s">
        <v>39</v>
      </c>
      <c r="B32" s="11" t="n">
        <v>0</v>
      </c>
      <c r="C32" s="11" t="n">
        <v>0</v>
      </c>
      <c r="D32" s="11" t="n">
        <v>0</v>
      </c>
      <c r="E32" s="11" t="n">
        <v>0</v>
      </c>
    </row>
    <row r="33" customFormat="false" ht="15" hidden="false" customHeight="false" outlineLevel="0" collapsed="false">
      <c r="A33" s="7" t="s">
        <v>40</v>
      </c>
      <c r="B33" s="11" t="n">
        <v>1</v>
      </c>
      <c r="C33" s="11" t="n">
        <v>0</v>
      </c>
      <c r="D33" s="11" t="n">
        <v>0</v>
      </c>
      <c r="E33" s="11" t="n">
        <v>0</v>
      </c>
    </row>
    <row r="34" customFormat="false" ht="15" hidden="false" customHeight="false" outlineLevel="0" collapsed="false">
      <c r="A34" s="7" t="s">
        <v>41</v>
      </c>
      <c r="B34" s="11" t="n">
        <v>1</v>
      </c>
      <c r="C34" s="11" t="n">
        <v>0</v>
      </c>
      <c r="D34" s="11" t="n">
        <v>0</v>
      </c>
      <c r="E34" s="11" t="n">
        <v>0</v>
      </c>
    </row>
    <row r="35" customFormat="false" ht="15" hidden="false" customHeight="false" outlineLevel="0" collapsed="false">
      <c r="A35" s="7" t="s">
        <v>42</v>
      </c>
      <c r="B35" s="11" t="n">
        <v>1</v>
      </c>
      <c r="C35" s="11" t="n">
        <v>0</v>
      </c>
      <c r="D35" s="11" t="n">
        <v>0</v>
      </c>
      <c r="E35" s="11" t="n">
        <v>0</v>
      </c>
    </row>
    <row r="37" customFormat="false" ht="15" hidden="false" customHeight="false" outlineLevel="0" collapsed="false">
      <c r="A37" s="3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5" min="3" style="0" width="10"/>
    <col collapsed="false" customWidth="true" hidden="false" outlineLevel="0" max="6" min="6" style="0" width="9"/>
    <col collapsed="false" customWidth="true" hidden="false" outlineLevel="0" max="7" min="7" style="0" width="52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3"/>
    <col collapsed="false" customWidth="true" hidden="false" outlineLevel="0" max="13" min="13" style="0" width="6"/>
    <col collapsed="false" customWidth="true" hidden="false" outlineLevel="0" max="16" min="14" style="0" width="8"/>
    <col collapsed="false" customWidth="true" hidden="false" outlineLevel="0" max="17" min="17" style="0" width="6"/>
  </cols>
  <sheetData>
    <row r="1" customFormat="false" ht="17.35" hidden="false" customHeight="false" outlineLevel="0" collapsed="false">
      <c r="A1" s="1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45</v>
      </c>
    </row>
    <row r="3" customFormat="false" ht="15" hidden="false" customHeight="false" outlineLevel="0" collapsed="false">
      <c r="A3" s="3" t="s">
        <v>46</v>
      </c>
    </row>
    <row r="4" customFormat="false" ht="15" hidden="false" customHeight="false" outlineLevel="0" collapsed="false">
      <c r="A4" s="3" t="s">
        <v>47</v>
      </c>
    </row>
    <row r="5" customFormat="false" ht="15" hidden="false" customHeight="false" outlineLevel="0" collapsed="false">
      <c r="A5" s="12" t="s">
        <v>48</v>
      </c>
      <c r="B5" s="12" t="s">
        <v>30</v>
      </c>
      <c r="C5" s="12" t="s">
        <v>49</v>
      </c>
      <c r="D5" s="12" t="s">
        <v>50</v>
      </c>
      <c r="E5" s="12" t="s">
        <v>51</v>
      </c>
      <c r="F5" s="12" t="s">
        <v>52</v>
      </c>
      <c r="G5" s="12" t="s">
        <v>53</v>
      </c>
      <c r="H5" s="12" t="s">
        <v>54</v>
      </c>
      <c r="I5" s="12" t="s">
        <v>55</v>
      </c>
      <c r="J5" s="12" t="s">
        <v>56</v>
      </c>
      <c r="K5" s="12" t="s">
        <v>57</v>
      </c>
      <c r="M5" s="13" t="s">
        <v>58</v>
      </c>
      <c r="N5" s="13" t="s">
        <v>59</v>
      </c>
      <c r="O5" s="13" t="s">
        <v>60</v>
      </c>
      <c r="P5" s="13" t="s">
        <v>61</v>
      </c>
      <c r="Q5" s="13" t="s">
        <v>62</v>
      </c>
    </row>
    <row r="6" customFormat="false" ht="15" hidden="false" customHeight="false" outlineLevel="0" collapsed="false">
      <c r="A6" s="14" t="n">
        <v>1</v>
      </c>
      <c r="B6" s="14" t="s">
        <v>34</v>
      </c>
      <c r="C6" s="14" t="n">
        <v>25</v>
      </c>
      <c r="D6" s="14" t="n">
        <v>15</v>
      </c>
      <c r="E6" s="14"/>
      <c r="F6" s="14"/>
      <c r="G6" s="15" t="str">
        <f aca="false">IF($B6="","",IF($M6=0,"✗ unknown species",IF($N6+$O6+$P6&gt;$C6,"✗ allocated more than fish weight",IF($D6+$E6+$F6&gt;$N6+$O6+$P6,"✗ some value-added not applied — 15 lb min per fish / species not eligible — bills as fillet",IF(AND(INDEX(Rates!$B$27:$B$35,$M6)=1,$C6&gt;=Rates!$B$24,$C6&lt;=Rates!$C$24),"~ borderline 10–14 lb — tier may flip at the scale","✓")))))</f>
        <v>✓</v>
      </c>
      <c r="H6" s="15" t="str">
        <f aca="false">IF($B6="","",IF($Q6=1,"under-12",""))</f>
        <v/>
      </c>
      <c r="I6" s="15" t="n">
        <f aca="false">IF($M6=0,"",MAX(0,$C6-($N6+$O6+$P6)))</f>
        <v>10</v>
      </c>
      <c r="J6" s="16" t="n">
        <f aca="false">IF($M6=0,0,MAX(0,$C6-($N6+$O6+$P6))*IF($Q6=1,Rates!$B$7,Rates!$B$6)+$N6*Rates!$B$8+$O6*Rates!$B$9+$P6*Rates!$B$10)</f>
        <v>72</v>
      </c>
      <c r="K6" s="16" t="n">
        <f aca="false">IF($M6=0,0,MAX(0,$C6-($N6+$O6+$P6))*IF($Q6=1,Rates!$C$7,Rates!$C$6)+$N6*Rates!$C$8+$O6*Rates!$C$9+$P6*Rates!$C$10)</f>
        <v>60.95</v>
      </c>
      <c r="M6" s="3" t="n">
        <f aca="false">IFERROR(MATCH($B6,Rates!$A$27:$A$35,0),0)</f>
        <v>1</v>
      </c>
      <c r="N6" s="3" t="n">
        <f aca="false">IF($M6=0,0,IF(AND(INDEX(Rates!$C$27:$C$35,$M6)=1,$D6&gt;=Rates!$B$22),$D6,0))</f>
        <v>15</v>
      </c>
      <c r="O6" s="3" t="n">
        <f aca="false">IF($M6=0,0,IF(AND(INDEX(Rates!$D$27:$D$35,$M6)=1,$E6&gt;=Rates!$B$22),$E6,0))</f>
        <v>0</v>
      </c>
      <c r="P6" s="3" t="n">
        <f aca="false">IF($M6=0,0,IF(AND(INDEX(Rates!$E$27:$E$35,$M6)=1,$F6&gt;=Rates!$B$22),$F6,0))</f>
        <v>0</v>
      </c>
      <c r="Q6" s="3" t="n">
        <f aca="false">IF($M6=0,0,IF(AND(INDEX(Rates!$B$27:$B$35,$M6)=1,$C6&lt;Rates!$B$23),1,0))</f>
        <v>0</v>
      </c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5" t="str">
        <f aca="false">IF($B7="","",IF($M7=0,"✗ unknown species",IF($N7+$O7+$P7&gt;$C7,"✗ allocated more than fish weight",IF($D7+$E7+$F7&gt;$N7+$O7+$P7,"✗ some value-added not applied — 15 lb min per fish / species not eligible — bills as fillet",IF(AND(INDEX(Rates!$B$27:$B$35,$M7)=1,$C7&gt;=Rates!$B$24,$C7&lt;=Rates!$C$24),"~ borderline 10–14 lb — tier may flip at the scale","✓")))))</f>
        <v/>
      </c>
      <c r="H7" s="15" t="str">
        <f aca="false">IF($B7="","",IF($Q7=1,"under-12",""))</f>
        <v/>
      </c>
      <c r="I7" s="15" t="str">
        <f aca="false">IF($M7=0,"",MAX(0,$C7-($N7+$O7+$P7)))</f>
        <v/>
      </c>
      <c r="J7" s="16" t="n">
        <f aca="false">IF($M7=0,0,MAX(0,$C7-($N7+$O7+$P7))*IF($Q7=1,Rates!$B$7,Rates!$B$6)+$N7*Rates!$B$8+$O7*Rates!$B$9+$P7*Rates!$B$10)</f>
        <v>0</v>
      </c>
      <c r="K7" s="16" t="n">
        <f aca="false">IF($M7=0,0,MAX(0,$C7-($N7+$O7+$P7))*IF($Q7=1,Rates!$C$7,Rates!$C$6)+$N7*Rates!$C$8+$O7*Rates!$C$9+$P7*Rates!$C$10)</f>
        <v>0</v>
      </c>
      <c r="M7" s="3" t="n">
        <f aca="false">IFERROR(MATCH($B7,Rates!$A$27:$A$35,0),0)</f>
        <v>0</v>
      </c>
      <c r="N7" s="3" t="n">
        <f aca="false">IF($M7=0,0,IF(AND(INDEX(Rates!$C$27:$C$35,$M7)=1,$D7&gt;=Rates!$B$22),$D7,0))</f>
        <v>0</v>
      </c>
      <c r="O7" s="3" t="n">
        <f aca="false">IF($M7=0,0,IF(AND(INDEX(Rates!$D$27:$D$35,$M7)=1,$E7&gt;=Rates!$B$22),$E7,0))</f>
        <v>0</v>
      </c>
      <c r="P7" s="3" t="n">
        <f aca="false">IF($M7=0,0,IF(AND(INDEX(Rates!$E$27:$E$35,$M7)=1,$F7&gt;=Rates!$B$22),$F7,0))</f>
        <v>0</v>
      </c>
      <c r="Q7" s="3" t="n">
        <f aca="false">IF($M7=0,0,IF(AND(INDEX(Rates!$B$27:$B$35,$M7)=1,$C7&lt;Rates!$B$23),1,0))</f>
        <v>0</v>
      </c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5" t="str">
        <f aca="false">IF($B8="","",IF($M8=0,"✗ unknown species",IF($N8+$O8+$P8&gt;$C8,"✗ allocated more than fish weight",IF($D8+$E8+$F8&gt;$N8+$O8+$P8,"✗ some value-added not applied — 15 lb min per fish / species not eligible — bills as fillet",IF(AND(INDEX(Rates!$B$27:$B$35,$M8)=1,$C8&gt;=Rates!$B$24,$C8&lt;=Rates!$C$24),"~ borderline 10–14 lb — tier may flip at the scale","✓")))))</f>
        <v/>
      </c>
      <c r="H8" s="15" t="str">
        <f aca="false">IF($B8="","",IF($Q8=1,"under-12",""))</f>
        <v/>
      </c>
      <c r="I8" s="15" t="str">
        <f aca="false">IF($M8=0,"",MAX(0,$C8-($N8+$O8+$P8)))</f>
        <v/>
      </c>
      <c r="J8" s="16" t="n">
        <f aca="false">IF($M8=0,0,MAX(0,$C8-($N8+$O8+$P8))*IF($Q8=1,Rates!$B$7,Rates!$B$6)+$N8*Rates!$B$8+$O8*Rates!$B$9+$P8*Rates!$B$10)</f>
        <v>0</v>
      </c>
      <c r="K8" s="16" t="n">
        <f aca="false">IF($M8=0,0,MAX(0,$C8-($N8+$O8+$P8))*IF($Q8=1,Rates!$C$7,Rates!$C$6)+$N8*Rates!$C$8+$O8*Rates!$C$9+$P8*Rates!$C$10)</f>
        <v>0</v>
      </c>
      <c r="M8" s="3" t="n">
        <f aca="false">IFERROR(MATCH($B8,Rates!$A$27:$A$35,0),0)</f>
        <v>0</v>
      </c>
      <c r="N8" s="3" t="n">
        <f aca="false">IF($M8=0,0,IF(AND(INDEX(Rates!$C$27:$C$35,$M8)=1,$D8&gt;=Rates!$B$22),$D8,0))</f>
        <v>0</v>
      </c>
      <c r="O8" s="3" t="n">
        <f aca="false">IF($M8=0,0,IF(AND(INDEX(Rates!$D$27:$D$35,$M8)=1,$E8&gt;=Rates!$B$22),$E8,0))</f>
        <v>0</v>
      </c>
      <c r="P8" s="3" t="n">
        <f aca="false">IF($M8=0,0,IF(AND(INDEX(Rates!$E$27:$E$35,$M8)=1,$F8&gt;=Rates!$B$22),$F8,0))</f>
        <v>0</v>
      </c>
      <c r="Q8" s="3" t="n">
        <f aca="false">IF($M8=0,0,IF(AND(INDEX(Rates!$B$27:$B$35,$M8)=1,$C8&lt;Rates!$B$23),1,0))</f>
        <v>0</v>
      </c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5" t="str">
        <f aca="false">IF($B9="","",IF($M9=0,"✗ unknown species",IF($N9+$O9+$P9&gt;$C9,"✗ allocated more than fish weight",IF($D9+$E9+$F9&gt;$N9+$O9+$P9,"✗ some value-added not applied — 15 lb min per fish / species not eligible — bills as fillet",IF(AND(INDEX(Rates!$B$27:$B$35,$M9)=1,$C9&gt;=Rates!$B$24,$C9&lt;=Rates!$C$24),"~ borderline 10–14 lb — tier may flip at the scale","✓")))))</f>
        <v/>
      </c>
      <c r="H9" s="15" t="str">
        <f aca="false">IF($B9="","",IF($Q9=1,"under-12",""))</f>
        <v/>
      </c>
      <c r="I9" s="15" t="str">
        <f aca="false">IF($M9=0,"",MAX(0,$C9-($N9+$O9+$P9)))</f>
        <v/>
      </c>
      <c r="J9" s="16" t="n">
        <f aca="false">IF($M9=0,0,MAX(0,$C9-($N9+$O9+$P9))*IF($Q9=1,Rates!$B$7,Rates!$B$6)+$N9*Rates!$B$8+$O9*Rates!$B$9+$P9*Rates!$B$10)</f>
        <v>0</v>
      </c>
      <c r="K9" s="16" t="n">
        <f aca="false">IF($M9=0,0,MAX(0,$C9-($N9+$O9+$P9))*IF($Q9=1,Rates!$C$7,Rates!$C$6)+$N9*Rates!$C$8+$O9*Rates!$C$9+$P9*Rates!$C$10)</f>
        <v>0</v>
      </c>
      <c r="M9" s="3" t="n">
        <f aca="false">IFERROR(MATCH($B9,Rates!$A$27:$A$35,0),0)</f>
        <v>0</v>
      </c>
      <c r="N9" s="3" t="n">
        <f aca="false">IF($M9=0,0,IF(AND(INDEX(Rates!$C$27:$C$35,$M9)=1,$D9&gt;=Rates!$B$22),$D9,0))</f>
        <v>0</v>
      </c>
      <c r="O9" s="3" t="n">
        <f aca="false">IF($M9=0,0,IF(AND(INDEX(Rates!$D$27:$D$35,$M9)=1,$E9&gt;=Rates!$B$22),$E9,0))</f>
        <v>0</v>
      </c>
      <c r="P9" s="3" t="n">
        <f aca="false">IF($M9=0,0,IF(AND(INDEX(Rates!$E$27:$E$35,$M9)=1,$F9&gt;=Rates!$B$22),$F9,0))</f>
        <v>0</v>
      </c>
      <c r="Q9" s="3" t="n">
        <f aca="false">IF($M9=0,0,IF(AND(INDEX(Rates!$B$27:$B$35,$M9)=1,$C9&lt;Rates!$B$23),1,0))</f>
        <v>0</v>
      </c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5" t="str">
        <f aca="false">IF($B10="","",IF($M10=0,"✗ unknown species",IF($N10+$O10+$P10&gt;$C10,"✗ allocated more than fish weight",IF($D10+$E10+$F10&gt;$N10+$O10+$P10,"✗ some value-added not applied — 15 lb min per fish / species not eligible — bills as fillet",IF(AND(INDEX(Rates!$B$27:$B$35,$M10)=1,$C10&gt;=Rates!$B$24,$C10&lt;=Rates!$C$24),"~ borderline 10–14 lb — tier may flip at the scale","✓")))))</f>
        <v/>
      </c>
      <c r="H10" s="15" t="str">
        <f aca="false">IF($B10="","",IF($Q10=1,"under-12",""))</f>
        <v/>
      </c>
      <c r="I10" s="15" t="str">
        <f aca="false">IF($M10=0,"",MAX(0,$C10-($N10+$O10+$P10)))</f>
        <v/>
      </c>
      <c r="J10" s="16" t="n">
        <f aca="false">IF($M10=0,0,MAX(0,$C10-($N10+$O10+$P10))*IF($Q10=1,Rates!$B$7,Rates!$B$6)+$N10*Rates!$B$8+$O10*Rates!$B$9+$P10*Rates!$B$10)</f>
        <v>0</v>
      </c>
      <c r="K10" s="16" t="n">
        <f aca="false">IF($M10=0,0,MAX(0,$C10-($N10+$O10+$P10))*IF($Q10=1,Rates!$C$7,Rates!$C$6)+$N10*Rates!$C$8+$O10*Rates!$C$9+$P10*Rates!$C$10)</f>
        <v>0</v>
      </c>
      <c r="M10" s="3" t="n">
        <f aca="false">IFERROR(MATCH($B10,Rates!$A$27:$A$35,0),0)</f>
        <v>0</v>
      </c>
      <c r="N10" s="3" t="n">
        <f aca="false">IF($M10=0,0,IF(AND(INDEX(Rates!$C$27:$C$35,$M10)=1,$D10&gt;=Rates!$B$22),$D10,0))</f>
        <v>0</v>
      </c>
      <c r="O10" s="3" t="n">
        <f aca="false">IF($M10=0,0,IF(AND(INDEX(Rates!$D$27:$D$35,$M10)=1,$E10&gt;=Rates!$B$22),$E10,0))</f>
        <v>0</v>
      </c>
      <c r="P10" s="3" t="n">
        <f aca="false">IF($M10=0,0,IF(AND(INDEX(Rates!$E$27:$E$35,$M10)=1,$F10&gt;=Rates!$B$22),$F10,0))</f>
        <v>0</v>
      </c>
      <c r="Q10" s="3" t="n">
        <f aca="false">IF($M10=0,0,IF(AND(INDEX(Rates!$B$27:$B$35,$M10)=1,$C10&lt;Rates!$B$23),1,0))</f>
        <v>0</v>
      </c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5" t="str">
        <f aca="false">IF($B11="","",IF($M11=0,"✗ unknown species",IF($N11+$O11+$P11&gt;$C11,"✗ allocated more than fish weight",IF($D11+$E11+$F11&gt;$N11+$O11+$P11,"✗ some value-added not applied — 15 lb min per fish / species not eligible — bills as fillet",IF(AND(INDEX(Rates!$B$27:$B$35,$M11)=1,$C11&gt;=Rates!$B$24,$C11&lt;=Rates!$C$24),"~ borderline 10–14 lb — tier may flip at the scale","✓")))))</f>
        <v/>
      </c>
      <c r="H11" s="15" t="str">
        <f aca="false">IF($B11="","",IF($Q11=1,"under-12",""))</f>
        <v/>
      </c>
      <c r="I11" s="15" t="str">
        <f aca="false">IF($M11=0,"",MAX(0,$C11-($N11+$O11+$P11)))</f>
        <v/>
      </c>
      <c r="J11" s="16" t="n">
        <f aca="false">IF($M11=0,0,MAX(0,$C11-($N11+$O11+$P11))*IF($Q11=1,Rates!$B$7,Rates!$B$6)+$N11*Rates!$B$8+$O11*Rates!$B$9+$P11*Rates!$B$10)</f>
        <v>0</v>
      </c>
      <c r="K11" s="16" t="n">
        <f aca="false">IF($M11=0,0,MAX(0,$C11-($N11+$O11+$P11))*IF($Q11=1,Rates!$C$7,Rates!$C$6)+$N11*Rates!$C$8+$O11*Rates!$C$9+$P11*Rates!$C$10)</f>
        <v>0</v>
      </c>
      <c r="M11" s="3" t="n">
        <f aca="false">IFERROR(MATCH($B11,Rates!$A$27:$A$35,0),0)</f>
        <v>0</v>
      </c>
      <c r="N11" s="3" t="n">
        <f aca="false">IF($M11=0,0,IF(AND(INDEX(Rates!$C$27:$C$35,$M11)=1,$D11&gt;=Rates!$B$22),$D11,0))</f>
        <v>0</v>
      </c>
      <c r="O11" s="3" t="n">
        <f aca="false">IF($M11=0,0,IF(AND(INDEX(Rates!$D$27:$D$35,$M11)=1,$E11&gt;=Rates!$B$22),$E11,0))</f>
        <v>0</v>
      </c>
      <c r="P11" s="3" t="n">
        <f aca="false">IF($M11=0,0,IF(AND(INDEX(Rates!$E$27:$E$35,$M11)=1,$F11&gt;=Rates!$B$22),$F11,0))</f>
        <v>0</v>
      </c>
      <c r="Q11" s="3" t="n">
        <f aca="false">IF($M11=0,0,IF(AND(INDEX(Rates!$B$27:$B$35,$M11)=1,$C11&lt;Rates!$B$23),1,0))</f>
        <v>0</v>
      </c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5" t="str">
        <f aca="false">IF($B12="","",IF($M12=0,"✗ unknown species",IF($N12+$O12+$P12&gt;$C12,"✗ allocated more than fish weight",IF($D12+$E12+$F12&gt;$N12+$O12+$P12,"✗ some value-added not applied — 15 lb min per fish / species not eligible — bills as fillet",IF(AND(INDEX(Rates!$B$27:$B$35,$M12)=1,$C12&gt;=Rates!$B$24,$C12&lt;=Rates!$C$24),"~ borderline 10–14 lb — tier may flip at the scale","✓")))))</f>
        <v/>
      </c>
      <c r="H12" s="15" t="str">
        <f aca="false">IF($B12="","",IF($Q12=1,"under-12",""))</f>
        <v/>
      </c>
      <c r="I12" s="15" t="str">
        <f aca="false">IF($M12=0,"",MAX(0,$C12-($N12+$O12+$P12)))</f>
        <v/>
      </c>
      <c r="J12" s="16" t="n">
        <f aca="false">IF($M12=0,0,MAX(0,$C12-($N12+$O12+$P12))*IF($Q12=1,Rates!$B$7,Rates!$B$6)+$N12*Rates!$B$8+$O12*Rates!$B$9+$P12*Rates!$B$10)</f>
        <v>0</v>
      </c>
      <c r="K12" s="16" t="n">
        <f aca="false">IF($M12=0,0,MAX(0,$C12-($N12+$O12+$P12))*IF($Q12=1,Rates!$C$7,Rates!$C$6)+$N12*Rates!$C$8+$O12*Rates!$C$9+$P12*Rates!$C$10)</f>
        <v>0</v>
      </c>
      <c r="M12" s="3" t="n">
        <f aca="false">IFERROR(MATCH($B12,Rates!$A$27:$A$35,0),0)</f>
        <v>0</v>
      </c>
      <c r="N12" s="3" t="n">
        <f aca="false">IF($M12=0,0,IF(AND(INDEX(Rates!$C$27:$C$35,$M12)=1,$D12&gt;=Rates!$B$22),$D12,0))</f>
        <v>0</v>
      </c>
      <c r="O12" s="3" t="n">
        <f aca="false">IF($M12=0,0,IF(AND(INDEX(Rates!$D$27:$D$35,$M12)=1,$E12&gt;=Rates!$B$22),$E12,0))</f>
        <v>0</v>
      </c>
      <c r="P12" s="3" t="n">
        <f aca="false">IF($M12=0,0,IF(AND(INDEX(Rates!$E$27:$E$35,$M12)=1,$F12&gt;=Rates!$B$22),$F12,0))</f>
        <v>0</v>
      </c>
      <c r="Q12" s="3" t="n">
        <f aca="false">IF($M12=0,0,IF(AND(INDEX(Rates!$B$27:$B$35,$M12)=1,$C12&lt;Rates!$B$23),1,0))</f>
        <v>0</v>
      </c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5" t="str">
        <f aca="false">IF($B13="","",IF($M13=0,"✗ unknown species",IF($N13+$O13+$P13&gt;$C13,"✗ allocated more than fish weight",IF($D13+$E13+$F13&gt;$N13+$O13+$P13,"✗ some value-added not applied — 15 lb min per fish / species not eligible — bills as fillet",IF(AND(INDEX(Rates!$B$27:$B$35,$M13)=1,$C13&gt;=Rates!$B$24,$C13&lt;=Rates!$C$24),"~ borderline 10–14 lb — tier may flip at the scale","✓")))))</f>
        <v/>
      </c>
      <c r="H13" s="15" t="str">
        <f aca="false">IF($B13="","",IF($Q13=1,"under-12",""))</f>
        <v/>
      </c>
      <c r="I13" s="15" t="str">
        <f aca="false">IF($M13=0,"",MAX(0,$C13-($N13+$O13+$P13)))</f>
        <v/>
      </c>
      <c r="J13" s="16" t="n">
        <f aca="false">IF($M13=0,0,MAX(0,$C13-($N13+$O13+$P13))*IF($Q13=1,Rates!$B$7,Rates!$B$6)+$N13*Rates!$B$8+$O13*Rates!$B$9+$P13*Rates!$B$10)</f>
        <v>0</v>
      </c>
      <c r="K13" s="16" t="n">
        <f aca="false">IF($M13=0,0,MAX(0,$C13-($N13+$O13+$P13))*IF($Q13=1,Rates!$C$7,Rates!$C$6)+$N13*Rates!$C$8+$O13*Rates!$C$9+$P13*Rates!$C$10)</f>
        <v>0</v>
      </c>
      <c r="M13" s="3" t="n">
        <f aca="false">IFERROR(MATCH($B13,Rates!$A$27:$A$35,0),0)</f>
        <v>0</v>
      </c>
      <c r="N13" s="3" t="n">
        <f aca="false">IF($M13=0,0,IF(AND(INDEX(Rates!$C$27:$C$35,$M13)=1,$D13&gt;=Rates!$B$22),$D13,0))</f>
        <v>0</v>
      </c>
      <c r="O13" s="3" t="n">
        <f aca="false">IF($M13=0,0,IF(AND(INDEX(Rates!$D$27:$D$35,$M13)=1,$E13&gt;=Rates!$B$22),$E13,0))</f>
        <v>0</v>
      </c>
      <c r="P13" s="3" t="n">
        <f aca="false">IF($M13=0,0,IF(AND(INDEX(Rates!$E$27:$E$35,$M13)=1,$F13&gt;=Rates!$B$22),$F13,0))</f>
        <v>0</v>
      </c>
      <c r="Q13" s="3" t="n">
        <f aca="false">IF($M13=0,0,IF(AND(INDEX(Rates!$B$27:$B$35,$M13)=1,$C13&lt;Rates!$B$23),1,0))</f>
        <v>0</v>
      </c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5" t="str">
        <f aca="false">IF($B14="","",IF($M14=0,"✗ unknown species",IF($N14+$O14+$P14&gt;$C14,"✗ allocated more than fish weight",IF($D14+$E14+$F14&gt;$N14+$O14+$P14,"✗ some value-added not applied — 15 lb min per fish / species not eligible — bills as fillet",IF(AND(INDEX(Rates!$B$27:$B$35,$M14)=1,$C14&gt;=Rates!$B$24,$C14&lt;=Rates!$C$24),"~ borderline 10–14 lb — tier may flip at the scale","✓")))))</f>
        <v/>
      </c>
      <c r="H14" s="15" t="str">
        <f aca="false">IF($B14="","",IF($Q14=1,"under-12",""))</f>
        <v/>
      </c>
      <c r="I14" s="15" t="str">
        <f aca="false">IF($M14=0,"",MAX(0,$C14-($N14+$O14+$P14)))</f>
        <v/>
      </c>
      <c r="J14" s="16" t="n">
        <f aca="false">IF($M14=0,0,MAX(0,$C14-($N14+$O14+$P14))*IF($Q14=1,Rates!$B$7,Rates!$B$6)+$N14*Rates!$B$8+$O14*Rates!$B$9+$P14*Rates!$B$10)</f>
        <v>0</v>
      </c>
      <c r="K14" s="16" t="n">
        <f aca="false">IF($M14=0,0,MAX(0,$C14-($N14+$O14+$P14))*IF($Q14=1,Rates!$C$7,Rates!$C$6)+$N14*Rates!$C$8+$O14*Rates!$C$9+$P14*Rates!$C$10)</f>
        <v>0</v>
      </c>
      <c r="M14" s="3" t="n">
        <f aca="false">IFERROR(MATCH($B14,Rates!$A$27:$A$35,0),0)</f>
        <v>0</v>
      </c>
      <c r="N14" s="3" t="n">
        <f aca="false">IF($M14=0,0,IF(AND(INDEX(Rates!$C$27:$C$35,$M14)=1,$D14&gt;=Rates!$B$22),$D14,0))</f>
        <v>0</v>
      </c>
      <c r="O14" s="3" t="n">
        <f aca="false">IF($M14=0,0,IF(AND(INDEX(Rates!$D$27:$D$35,$M14)=1,$E14&gt;=Rates!$B$22),$E14,0))</f>
        <v>0</v>
      </c>
      <c r="P14" s="3" t="n">
        <f aca="false">IF($M14=0,0,IF(AND(INDEX(Rates!$E$27:$E$35,$M14)=1,$F14&gt;=Rates!$B$22),$F14,0))</f>
        <v>0</v>
      </c>
      <c r="Q14" s="3" t="n">
        <f aca="false">IF($M14=0,0,IF(AND(INDEX(Rates!$B$27:$B$35,$M14)=1,$C14&lt;Rates!$B$23),1,0))</f>
        <v>0</v>
      </c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5" t="str">
        <f aca="false">IF($B15="","",IF($M15=0,"✗ unknown species",IF($N15+$O15+$P15&gt;$C15,"✗ allocated more than fish weight",IF($D15+$E15+$F15&gt;$N15+$O15+$P15,"✗ some value-added not applied — 15 lb min per fish / species not eligible — bills as fillet",IF(AND(INDEX(Rates!$B$27:$B$35,$M15)=1,$C15&gt;=Rates!$B$24,$C15&lt;=Rates!$C$24),"~ borderline 10–14 lb — tier may flip at the scale","✓")))))</f>
        <v/>
      </c>
      <c r="H15" s="15" t="str">
        <f aca="false">IF($B15="","",IF($Q15=1,"under-12",""))</f>
        <v/>
      </c>
      <c r="I15" s="15" t="str">
        <f aca="false">IF($M15=0,"",MAX(0,$C15-($N15+$O15+$P15)))</f>
        <v/>
      </c>
      <c r="J15" s="16" t="n">
        <f aca="false">IF($M15=0,0,MAX(0,$C15-($N15+$O15+$P15))*IF($Q15=1,Rates!$B$7,Rates!$B$6)+$N15*Rates!$B$8+$O15*Rates!$B$9+$P15*Rates!$B$10)</f>
        <v>0</v>
      </c>
      <c r="K15" s="16" t="n">
        <f aca="false">IF($M15=0,0,MAX(0,$C15-($N15+$O15+$P15))*IF($Q15=1,Rates!$C$7,Rates!$C$6)+$N15*Rates!$C$8+$O15*Rates!$C$9+$P15*Rates!$C$10)</f>
        <v>0</v>
      </c>
      <c r="M15" s="3" t="n">
        <f aca="false">IFERROR(MATCH($B15,Rates!$A$27:$A$35,0),0)</f>
        <v>0</v>
      </c>
      <c r="N15" s="3" t="n">
        <f aca="false">IF($M15=0,0,IF(AND(INDEX(Rates!$C$27:$C$35,$M15)=1,$D15&gt;=Rates!$B$22),$D15,0))</f>
        <v>0</v>
      </c>
      <c r="O15" s="3" t="n">
        <f aca="false">IF($M15=0,0,IF(AND(INDEX(Rates!$D$27:$D$35,$M15)=1,$E15&gt;=Rates!$B$22),$E15,0))</f>
        <v>0</v>
      </c>
      <c r="P15" s="3" t="n">
        <f aca="false">IF($M15=0,0,IF(AND(INDEX(Rates!$E$27:$E$35,$M15)=1,$F15&gt;=Rates!$B$22),$F15,0))</f>
        <v>0</v>
      </c>
      <c r="Q15" s="3" t="n">
        <f aca="false">IF($M15=0,0,IF(AND(INDEX(Rates!$B$27:$B$35,$M15)=1,$C15&lt;Rates!$B$23),1,0))</f>
        <v>0</v>
      </c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5" t="str">
        <f aca="false">IF($B16="","",IF($M16=0,"✗ unknown species",IF($N16+$O16+$P16&gt;$C16,"✗ allocated more than fish weight",IF($D16+$E16+$F16&gt;$N16+$O16+$P16,"✗ some value-added not applied — 15 lb min per fish / species not eligible — bills as fillet",IF(AND(INDEX(Rates!$B$27:$B$35,$M16)=1,$C16&gt;=Rates!$B$24,$C16&lt;=Rates!$C$24),"~ borderline 10–14 lb — tier may flip at the scale","✓")))))</f>
        <v/>
      </c>
      <c r="H16" s="15" t="str">
        <f aca="false">IF($B16="","",IF($Q16=1,"under-12",""))</f>
        <v/>
      </c>
      <c r="I16" s="15" t="str">
        <f aca="false">IF($M16=0,"",MAX(0,$C16-($N16+$O16+$P16)))</f>
        <v/>
      </c>
      <c r="J16" s="16" t="n">
        <f aca="false">IF($M16=0,0,MAX(0,$C16-($N16+$O16+$P16))*IF($Q16=1,Rates!$B$7,Rates!$B$6)+$N16*Rates!$B$8+$O16*Rates!$B$9+$P16*Rates!$B$10)</f>
        <v>0</v>
      </c>
      <c r="K16" s="16" t="n">
        <f aca="false">IF($M16=0,0,MAX(0,$C16-($N16+$O16+$P16))*IF($Q16=1,Rates!$C$7,Rates!$C$6)+$N16*Rates!$C$8+$O16*Rates!$C$9+$P16*Rates!$C$10)</f>
        <v>0</v>
      </c>
      <c r="M16" s="3" t="n">
        <f aca="false">IFERROR(MATCH($B16,Rates!$A$27:$A$35,0),0)</f>
        <v>0</v>
      </c>
      <c r="N16" s="3" t="n">
        <f aca="false">IF($M16=0,0,IF(AND(INDEX(Rates!$C$27:$C$35,$M16)=1,$D16&gt;=Rates!$B$22),$D16,0))</f>
        <v>0</v>
      </c>
      <c r="O16" s="3" t="n">
        <f aca="false">IF($M16=0,0,IF(AND(INDEX(Rates!$D$27:$D$35,$M16)=1,$E16&gt;=Rates!$B$22),$E16,0))</f>
        <v>0</v>
      </c>
      <c r="P16" s="3" t="n">
        <f aca="false">IF($M16=0,0,IF(AND(INDEX(Rates!$E$27:$E$35,$M16)=1,$F16&gt;=Rates!$B$22),$F16,0))</f>
        <v>0</v>
      </c>
      <c r="Q16" s="3" t="n">
        <f aca="false">IF($M16=0,0,IF(AND(INDEX(Rates!$B$27:$B$35,$M16)=1,$C16&lt;Rates!$B$23),1,0))</f>
        <v>0</v>
      </c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5" t="str">
        <f aca="false">IF($B17="","",IF($M17=0,"✗ unknown species",IF($N17+$O17+$P17&gt;$C17,"✗ allocated more than fish weight",IF($D17+$E17+$F17&gt;$N17+$O17+$P17,"✗ some value-added not applied — 15 lb min per fish / species not eligible — bills as fillet",IF(AND(INDEX(Rates!$B$27:$B$35,$M17)=1,$C17&gt;=Rates!$B$24,$C17&lt;=Rates!$C$24),"~ borderline 10–14 lb — tier may flip at the scale","✓")))))</f>
        <v/>
      </c>
      <c r="H17" s="15" t="str">
        <f aca="false">IF($B17="","",IF($Q17=1,"under-12",""))</f>
        <v/>
      </c>
      <c r="I17" s="15" t="str">
        <f aca="false">IF($M17=0,"",MAX(0,$C17-($N17+$O17+$P17)))</f>
        <v/>
      </c>
      <c r="J17" s="16" t="n">
        <f aca="false">IF($M17=0,0,MAX(0,$C17-($N17+$O17+$P17))*IF($Q17=1,Rates!$B$7,Rates!$B$6)+$N17*Rates!$B$8+$O17*Rates!$B$9+$P17*Rates!$B$10)</f>
        <v>0</v>
      </c>
      <c r="K17" s="16" t="n">
        <f aca="false">IF($M17=0,0,MAX(0,$C17-($N17+$O17+$P17))*IF($Q17=1,Rates!$C$7,Rates!$C$6)+$N17*Rates!$C$8+$O17*Rates!$C$9+$P17*Rates!$C$10)</f>
        <v>0</v>
      </c>
      <c r="M17" s="3" t="n">
        <f aca="false">IFERROR(MATCH($B17,Rates!$A$27:$A$35,0),0)</f>
        <v>0</v>
      </c>
      <c r="N17" s="3" t="n">
        <f aca="false">IF($M17=0,0,IF(AND(INDEX(Rates!$C$27:$C$35,$M17)=1,$D17&gt;=Rates!$B$22),$D17,0))</f>
        <v>0</v>
      </c>
      <c r="O17" s="3" t="n">
        <f aca="false">IF($M17=0,0,IF(AND(INDEX(Rates!$D$27:$D$35,$M17)=1,$E17&gt;=Rates!$B$22),$E17,0))</f>
        <v>0</v>
      </c>
      <c r="P17" s="3" t="n">
        <f aca="false">IF($M17=0,0,IF(AND(INDEX(Rates!$E$27:$E$35,$M17)=1,$F17&gt;=Rates!$B$22),$F17,0))</f>
        <v>0</v>
      </c>
      <c r="Q17" s="3" t="n">
        <f aca="false">IF($M17=0,0,IF(AND(INDEX(Rates!$B$27:$B$35,$M17)=1,$C17&lt;Rates!$B$23),1,0))</f>
        <v>0</v>
      </c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5" t="str">
        <f aca="false">IF($B18="","",IF($M18=0,"✗ unknown species",IF($N18+$O18+$P18&gt;$C18,"✗ allocated more than fish weight",IF($D18+$E18+$F18&gt;$N18+$O18+$P18,"✗ some value-added not applied — 15 lb min per fish / species not eligible — bills as fillet",IF(AND(INDEX(Rates!$B$27:$B$35,$M18)=1,$C18&gt;=Rates!$B$24,$C18&lt;=Rates!$C$24),"~ borderline 10–14 lb — tier may flip at the scale","✓")))))</f>
        <v/>
      </c>
      <c r="H18" s="15" t="str">
        <f aca="false">IF($B18="","",IF($Q18=1,"under-12",""))</f>
        <v/>
      </c>
      <c r="I18" s="15" t="str">
        <f aca="false">IF($M18=0,"",MAX(0,$C18-($N18+$O18+$P18)))</f>
        <v/>
      </c>
      <c r="J18" s="16" t="n">
        <f aca="false">IF($M18=0,0,MAX(0,$C18-($N18+$O18+$P18))*IF($Q18=1,Rates!$B$7,Rates!$B$6)+$N18*Rates!$B$8+$O18*Rates!$B$9+$P18*Rates!$B$10)</f>
        <v>0</v>
      </c>
      <c r="K18" s="16" t="n">
        <f aca="false">IF($M18=0,0,MAX(0,$C18-($N18+$O18+$P18))*IF($Q18=1,Rates!$C$7,Rates!$C$6)+$N18*Rates!$C$8+$O18*Rates!$C$9+$P18*Rates!$C$10)</f>
        <v>0</v>
      </c>
      <c r="M18" s="3" t="n">
        <f aca="false">IFERROR(MATCH($B18,Rates!$A$27:$A$35,0),0)</f>
        <v>0</v>
      </c>
      <c r="N18" s="3" t="n">
        <f aca="false">IF($M18=0,0,IF(AND(INDEX(Rates!$C$27:$C$35,$M18)=1,$D18&gt;=Rates!$B$22),$D18,0))</f>
        <v>0</v>
      </c>
      <c r="O18" s="3" t="n">
        <f aca="false">IF($M18=0,0,IF(AND(INDEX(Rates!$D$27:$D$35,$M18)=1,$E18&gt;=Rates!$B$22),$E18,0))</f>
        <v>0</v>
      </c>
      <c r="P18" s="3" t="n">
        <f aca="false">IF($M18=0,0,IF(AND(INDEX(Rates!$E$27:$E$35,$M18)=1,$F18&gt;=Rates!$B$22),$F18,0))</f>
        <v>0</v>
      </c>
      <c r="Q18" s="3" t="n">
        <f aca="false">IF($M18=0,0,IF(AND(INDEX(Rates!$B$27:$B$35,$M18)=1,$C18&lt;Rates!$B$23),1,0))</f>
        <v>0</v>
      </c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5" t="str">
        <f aca="false">IF($B19="","",IF($M19=0,"✗ unknown species",IF($N19+$O19+$P19&gt;$C19,"✗ allocated more than fish weight",IF($D19+$E19+$F19&gt;$N19+$O19+$P19,"✗ some value-added not applied — 15 lb min per fish / species not eligible — bills as fillet",IF(AND(INDEX(Rates!$B$27:$B$35,$M19)=1,$C19&gt;=Rates!$B$24,$C19&lt;=Rates!$C$24),"~ borderline 10–14 lb — tier may flip at the scale","✓")))))</f>
        <v/>
      </c>
      <c r="H19" s="15" t="str">
        <f aca="false">IF($B19="","",IF($Q19=1,"under-12",""))</f>
        <v/>
      </c>
      <c r="I19" s="15" t="str">
        <f aca="false">IF($M19=0,"",MAX(0,$C19-($N19+$O19+$P19)))</f>
        <v/>
      </c>
      <c r="J19" s="16" t="n">
        <f aca="false">IF($M19=0,0,MAX(0,$C19-($N19+$O19+$P19))*IF($Q19=1,Rates!$B$7,Rates!$B$6)+$N19*Rates!$B$8+$O19*Rates!$B$9+$P19*Rates!$B$10)</f>
        <v>0</v>
      </c>
      <c r="K19" s="16" t="n">
        <f aca="false">IF($M19=0,0,MAX(0,$C19-($N19+$O19+$P19))*IF($Q19=1,Rates!$C$7,Rates!$C$6)+$N19*Rates!$C$8+$O19*Rates!$C$9+$P19*Rates!$C$10)</f>
        <v>0</v>
      </c>
      <c r="M19" s="3" t="n">
        <f aca="false">IFERROR(MATCH($B19,Rates!$A$27:$A$35,0),0)</f>
        <v>0</v>
      </c>
      <c r="N19" s="3" t="n">
        <f aca="false">IF($M19=0,0,IF(AND(INDEX(Rates!$C$27:$C$35,$M19)=1,$D19&gt;=Rates!$B$22),$D19,0))</f>
        <v>0</v>
      </c>
      <c r="O19" s="3" t="n">
        <f aca="false">IF($M19=0,0,IF(AND(INDEX(Rates!$D$27:$D$35,$M19)=1,$E19&gt;=Rates!$B$22),$E19,0))</f>
        <v>0</v>
      </c>
      <c r="P19" s="3" t="n">
        <f aca="false">IF($M19=0,0,IF(AND(INDEX(Rates!$E$27:$E$35,$M19)=1,$F19&gt;=Rates!$B$22),$F19,0))</f>
        <v>0</v>
      </c>
      <c r="Q19" s="3" t="n">
        <f aca="false">IF($M19=0,0,IF(AND(INDEX(Rates!$B$27:$B$35,$M19)=1,$C19&lt;Rates!$B$23),1,0))</f>
        <v>0</v>
      </c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5" t="str">
        <f aca="false">IF($B20="","",IF($M20=0,"✗ unknown species",IF($N20+$O20+$P20&gt;$C20,"✗ allocated more than fish weight",IF($D20+$E20+$F20&gt;$N20+$O20+$P20,"✗ some value-added not applied — 15 lb min per fish / species not eligible — bills as fillet",IF(AND(INDEX(Rates!$B$27:$B$35,$M20)=1,$C20&gt;=Rates!$B$24,$C20&lt;=Rates!$C$24),"~ borderline 10–14 lb — tier may flip at the scale","✓")))))</f>
        <v/>
      </c>
      <c r="H20" s="15" t="str">
        <f aca="false">IF($B20="","",IF($Q20=1,"under-12",""))</f>
        <v/>
      </c>
      <c r="I20" s="15" t="str">
        <f aca="false">IF($M20=0,"",MAX(0,$C20-($N20+$O20+$P20)))</f>
        <v/>
      </c>
      <c r="J20" s="16" t="n">
        <f aca="false">IF($M20=0,0,MAX(0,$C20-($N20+$O20+$P20))*IF($Q20=1,Rates!$B$7,Rates!$B$6)+$N20*Rates!$B$8+$O20*Rates!$B$9+$P20*Rates!$B$10)</f>
        <v>0</v>
      </c>
      <c r="K20" s="16" t="n">
        <f aca="false">IF($M20=0,0,MAX(0,$C20-($N20+$O20+$P20))*IF($Q20=1,Rates!$C$7,Rates!$C$6)+$N20*Rates!$C$8+$O20*Rates!$C$9+$P20*Rates!$C$10)</f>
        <v>0</v>
      </c>
      <c r="M20" s="3" t="n">
        <f aca="false">IFERROR(MATCH($B20,Rates!$A$27:$A$35,0),0)</f>
        <v>0</v>
      </c>
      <c r="N20" s="3" t="n">
        <f aca="false">IF($M20=0,0,IF(AND(INDEX(Rates!$C$27:$C$35,$M20)=1,$D20&gt;=Rates!$B$22),$D20,0))</f>
        <v>0</v>
      </c>
      <c r="O20" s="3" t="n">
        <f aca="false">IF($M20=0,0,IF(AND(INDEX(Rates!$D$27:$D$35,$M20)=1,$E20&gt;=Rates!$B$22),$E20,0))</f>
        <v>0</v>
      </c>
      <c r="P20" s="3" t="n">
        <f aca="false">IF($M20=0,0,IF(AND(INDEX(Rates!$E$27:$E$35,$M20)=1,$F20&gt;=Rates!$B$22),$F20,0))</f>
        <v>0</v>
      </c>
      <c r="Q20" s="3" t="n">
        <f aca="false">IF($M20=0,0,IF(AND(INDEX(Rates!$B$27:$B$35,$M20)=1,$C20&lt;Rates!$B$23),1,0))</f>
        <v>0</v>
      </c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5" t="str">
        <f aca="false">IF($B21="","",IF($M21=0,"✗ unknown species",IF($N21+$O21+$P21&gt;$C21,"✗ allocated more than fish weight",IF($D21+$E21+$F21&gt;$N21+$O21+$P21,"✗ some value-added not applied — 15 lb min per fish / species not eligible — bills as fillet",IF(AND(INDEX(Rates!$B$27:$B$35,$M21)=1,$C21&gt;=Rates!$B$24,$C21&lt;=Rates!$C$24),"~ borderline 10–14 lb — tier may flip at the scale","✓")))))</f>
        <v/>
      </c>
      <c r="H21" s="15" t="str">
        <f aca="false">IF($B21="","",IF($Q21=1,"under-12",""))</f>
        <v/>
      </c>
      <c r="I21" s="15" t="str">
        <f aca="false">IF($M21=0,"",MAX(0,$C21-($N21+$O21+$P21)))</f>
        <v/>
      </c>
      <c r="J21" s="16" t="n">
        <f aca="false">IF($M21=0,0,MAX(0,$C21-($N21+$O21+$P21))*IF($Q21=1,Rates!$B$7,Rates!$B$6)+$N21*Rates!$B$8+$O21*Rates!$B$9+$P21*Rates!$B$10)</f>
        <v>0</v>
      </c>
      <c r="K21" s="16" t="n">
        <f aca="false">IF($M21=0,0,MAX(0,$C21-($N21+$O21+$P21))*IF($Q21=1,Rates!$C$7,Rates!$C$6)+$N21*Rates!$C$8+$O21*Rates!$C$9+$P21*Rates!$C$10)</f>
        <v>0</v>
      </c>
      <c r="M21" s="3" t="n">
        <f aca="false">IFERROR(MATCH($B21,Rates!$A$27:$A$35,0),0)</f>
        <v>0</v>
      </c>
      <c r="N21" s="3" t="n">
        <f aca="false">IF($M21=0,0,IF(AND(INDEX(Rates!$C$27:$C$35,$M21)=1,$D21&gt;=Rates!$B$22),$D21,0))</f>
        <v>0</v>
      </c>
      <c r="O21" s="3" t="n">
        <f aca="false">IF($M21=0,0,IF(AND(INDEX(Rates!$D$27:$D$35,$M21)=1,$E21&gt;=Rates!$B$22),$E21,0))</f>
        <v>0</v>
      </c>
      <c r="P21" s="3" t="n">
        <f aca="false">IF($M21=0,0,IF(AND(INDEX(Rates!$E$27:$E$35,$M21)=1,$F21&gt;=Rates!$B$22),$F21,0))</f>
        <v>0</v>
      </c>
      <c r="Q21" s="3" t="n">
        <f aca="false">IF($M21=0,0,IF(AND(INDEX(Rates!$B$27:$B$35,$M21)=1,$C21&lt;Rates!$B$23),1,0))</f>
        <v>0</v>
      </c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5" t="str">
        <f aca="false">IF($B22="","",IF($M22=0,"✗ unknown species",IF($N22+$O22+$P22&gt;$C22,"✗ allocated more than fish weight",IF($D22+$E22+$F22&gt;$N22+$O22+$P22,"✗ some value-added not applied — 15 lb min per fish / species not eligible — bills as fillet",IF(AND(INDEX(Rates!$B$27:$B$35,$M22)=1,$C22&gt;=Rates!$B$24,$C22&lt;=Rates!$C$24),"~ borderline 10–14 lb — tier may flip at the scale","✓")))))</f>
        <v/>
      </c>
      <c r="H22" s="15" t="str">
        <f aca="false">IF($B22="","",IF($Q22=1,"under-12",""))</f>
        <v/>
      </c>
      <c r="I22" s="15" t="str">
        <f aca="false">IF($M22=0,"",MAX(0,$C22-($N22+$O22+$P22)))</f>
        <v/>
      </c>
      <c r="J22" s="16" t="n">
        <f aca="false">IF($M22=0,0,MAX(0,$C22-($N22+$O22+$P22))*IF($Q22=1,Rates!$B$7,Rates!$B$6)+$N22*Rates!$B$8+$O22*Rates!$B$9+$P22*Rates!$B$10)</f>
        <v>0</v>
      </c>
      <c r="K22" s="16" t="n">
        <f aca="false">IF($M22=0,0,MAX(0,$C22-($N22+$O22+$P22))*IF($Q22=1,Rates!$C$7,Rates!$C$6)+$N22*Rates!$C$8+$O22*Rates!$C$9+$P22*Rates!$C$10)</f>
        <v>0</v>
      </c>
      <c r="M22" s="3" t="n">
        <f aca="false">IFERROR(MATCH($B22,Rates!$A$27:$A$35,0),0)</f>
        <v>0</v>
      </c>
      <c r="N22" s="3" t="n">
        <f aca="false">IF($M22=0,0,IF(AND(INDEX(Rates!$C$27:$C$35,$M22)=1,$D22&gt;=Rates!$B$22),$D22,0))</f>
        <v>0</v>
      </c>
      <c r="O22" s="3" t="n">
        <f aca="false">IF($M22=0,0,IF(AND(INDEX(Rates!$D$27:$D$35,$M22)=1,$E22&gt;=Rates!$B$22),$E22,0))</f>
        <v>0</v>
      </c>
      <c r="P22" s="3" t="n">
        <f aca="false">IF($M22=0,0,IF(AND(INDEX(Rates!$E$27:$E$35,$M22)=1,$F22&gt;=Rates!$B$22),$F22,0))</f>
        <v>0</v>
      </c>
      <c r="Q22" s="3" t="n">
        <f aca="false">IF($M22=0,0,IF(AND(INDEX(Rates!$B$27:$B$35,$M22)=1,$C22&lt;Rates!$B$23),1,0))</f>
        <v>0</v>
      </c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5" t="str">
        <f aca="false">IF($B23="","",IF($M23=0,"✗ unknown species",IF($N23+$O23+$P23&gt;$C23,"✗ allocated more than fish weight",IF($D23+$E23+$F23&gt;$N23+$O23+$P23,"✗ some value-added not applied — 15 lb min per fish / species not eligible — bills as fillet",IF(AND(INDEX(Rates!$B$27:$B$35,$M23)=1,$C23&gt;=Rates!$B$24,$C23&lt;=Rates!$C$24),"~ borderline 10–14 lb — tier may flip at the scale","✓")))))</f>
        <v/>
      </c>
      <c r="H23" s="15" t="str">
        <f aca="false">IF($B23="","",IF($Q23=1,"under-12",""))</f>
        <v/>
      </c>
      <c r="I23" s="15" t="str">
        <f aca="false">IF($M23=0,"",MAX(0,$C23-($N23+$O23+$P23)))</f>
        <v/>
      </c>
      <c r="J23" s="16" t="n">
        <f aca="false">IF($M23=0,0,MAX(0,$C23-($N23+$O23+$P23))*IF($Q23=1,Rates!$B$7,Rates!$B$6)+$N23*Rates!$B$8+$O23*Rates!$B$9+$P23*Rates!$B$10)</f>
        <v>0</v>
      </c>
      <c r="K23" s="16" t="n">
        <f aca="false">IF($M23=0,0,MAX(0,$C23-($N23+$O23+$P23))*IF($Q23=1,Rates!$C$7,Rates!$C$6)+$N23*Rates!$C$8+$O23*Rates!$C$9+$P23*Rates!$C$10)</f>
        <v>0</v>
      </c>
      <c r="M23" s="3" t="n">
        <f aca="false">IFERROR(MATCH($B23,Rates!$A$27:$A$35,0),0)</f>
        <v>0</v>
      </c>
      <c r="N23" s="3" t="n">
        <f aca="false">IF($M23=0,0,IF(AND(INDEX(Rates!$C$27:$C$35,$M23)=1,$D23&gt;=Rates!$B$22),$D23,0))</f>
        <v>0</v>
      </c>
      <c r="O23" s="3" t="n">
        <f aca="false">IF($M23=0,0,IF(AND(INDEX(Rates!$D$27:$D$35,$M23)=1,$E23&gt;=Rates!$B$22),$E23,0))</f>
        <v>0</v>
      </c>
      <c r="P23" s="3" t="n">
        <f aca="false">IF($M23=0,0,IF(AND(INDEX(Rates!$E$27:$E$35,$M23)=1,$F23&gt;=Rates!$B$22),$F23,0))</f>
        <v>0</v>
      </c>
      <c r="Q23" s="3" t="n">
        <f aca="false">IF($M23=0,0,IF(AND(INDEX(Rates!$B$27:$B$35,$M23)=1,$C23&lt;Rates!$B$23),1,0))</f>
        <v>0</v>
      </c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5" t="str">
        <f aca="false">IF($B24="","",IF($M24=0,"✗ unknown species",IF($N24+$O24+$P24&gt;$C24,"✗ allocated more than fish weight",IF($D24+$E24+$F24&gt;$N24+$O24+$P24,"✗ some value-added not applied — 15 lb min per fish / species not eligible — bills as fillet",IF(AND(INDEX(Rates!$B$27:$B$35,$M24)=1,$C24&gt;=Rates!$B$24,$C24&lt;=Rates!$C$24),"~ borderline 10–14 lb — tier may flip at the scale","✓")))))</f>
        <v/>
      </c>
      <c r="H24" s="15" t="str">
        <f aca="false">IF($B24="","",IF($Q24=1,"under-12",""))</f>
        <v/>
      </c>
      <c r="I24" s="15" t="str">
        <f aca="false">IF($M24=0,"",MAX(0,$C24-($N24+$O24+$P24)))</f>
        <v/>
      </c>
      <c r="J24" s="16" t="n">
        <f aca="false">IF($M24=0,0,MAX(0,$C24-($N24+$O24+$P24))*IF($Q24=1,Rates!$B$7,Rates!$B$6)+$N24*Rates!$B$8+$O24*Rates!$B$9+$P24*Rates!$B$10)</f>
        <v>0</v>
      </c>
      <c r="K24" s="16" t="n">
        <f aca="false">IF($M24=0,0,MAX(0,$C24-($N24+$O24+$P24))*IF($Q24=1,Rates!$C$7,Rates!$C$6)+$N24*Rates!$C$8+$O24*Rates!$C$9+$P24*Rates!$C$10)</f>
        <v>0</v>
      </c>
      <c r="M24" s="3" t="n">
        <f aca="false">IFERROR(MATCH($B24,Rates!$A$27:$A$35,0),0)</f>
        <v>0</v>
      </c>
      <c r="N24" s="3" t="n">
        <f aca="false">IF($M24=0,0,IF(AND(INDEX(Rates!$C$27:$C$35,$M24)=1,$D24&gt;=Rates!$B$22),$D24,0))</f>
        <v>0</v>
      </c>
      <c r="O24" s="3" t="n">
        <f aca="false">IF($M24=0,0,IF(AND(INDEX(Rates!$D$27:$D$35,$M24)=1,$E24&gt;=Rates!$B$22),$E24,0))</f>
        <v>0</v>
      </c>
      <c r="P24" s="3" t="n">
        <f aca="false">IF($M24=0,0,IF(AND(INDEX(Rates!$E$27:$E$35,$M24)=1,$F24&gt;=Rates!$B$22),$F24,0))</f>
        <v>0</v>
      </c>
      <c r="Q24" s="3" t="n">
        <f aca="false">IF($M24=0,0,IF(AND(INDEX(Rates!$B$27:$B$35,$M24)=1,$C24&lt;Rates!$B$23),1,0))</f>
        <v>0</v>
      </c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5" t="str">
        <f aca="false">IF($B25="","",IF($M25=0,"✗ unknown species",IF($N25+$O25+$P25&gt;$C25,"✗ allocated more than fish weight",IF($D25+$E25+$F25&gt;$N25+$O25+$P25,"✗ some value-added not applied — 15 lb min per fish / species not eligible — bills as fillet",IF(AND(INDEX(Rates!$B$27:$B$35,$M25)=1,$C25&gt;=Rates!$B$24,$C25&lt;=Rates!$C$24),"~ borderline 10–14 lb — tier may flip at the scale","✓")))))</f>
        <v/>
      </c>
      <c r="H25" s="15" t="str">
        <f aca="false">IF($B25="","",IF($Q25=1,"under-12",""))</f>
        <v/>
      </c>
      <c r="I25" s="15" t="str">
        <f aca="false">IF($M25=0,"",MAX(0,$C25-($N25+$O25+$P25)))</f>
        <v/>
      </c>
      <c r="J25" s="16" t="n">
        <f aca="false">IF($M25=0,0,MAX(0,$C25-($N25+$O25+$P25))*IF($Q25=1,Rates!$B$7,Rates!$B$6)+$N25*Rates!$B$8+$O25*Rates!$B$9+$P25*Rates!$B$10)</f>
        <v>0</v>
      </c>
      <c r="K25" s="16" t="n">
        <f aca="false">IF($M25=0,0,MAX(0,$C25-($N25+$O25+$P25))*IF($Q25=1,Rates!$C$7,Rates!$C$6)+$N25*Rates!$C$8+$O25*Rates!$C$9+$P25*Rates!$C$10)</f>
        <v>0</v>
      </c>
      <c r="M25" s="3" t="n">
        <f aca="false">IFERROR(MATCH($B25,Rates!$A$27:$A$35,0),0)</f>
        <v>0</v>
      </c>
      <c r="N25" s="3" t="n">
        <f aca="false">IF($M25=0,0,IF(AND(INDEX(Rates!$C$27:$C$35,$M25)=1,$D25&gt;=Rates!$B$22),$D25,0))</f>
        <v>0</v>
      </c>
      <c r="O25" s="3" t="n">
        <f aca="false">IF($M25=0,0,IF(AND(INDEX(Rates!$D$27:$D$35,$M25)=1,$E25&gt;=Rates!$B$22),$E25,0))</f>
        <v>0</v>
      </c>
      <c r="P25" s="3" t="n">
        <f aca="false">IF($M25=0,0,IF(AND(INDEX(Rates!$E$27:$E$35,$M25)=1,$F25&gt;=Rates!$B$22),$F25,0))</f>
        <v>0</v>
      </c>
      <c r="Q25" s="3" t="n">
        <f aca="false">IF($M25=0,0,IF(AND(INDEX(Rates!$B$27:$B$35,$M25)=1,$C25&lt;Rates!$B$23),1,0))</f>
        <v>0</v>
      </c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5" t="str">
        <f aca="false">IF($B26="","",IF($M26=0,"✗ unknown species",IF($N26+$O26+$P26&gt;$C26,"✗ allocated more than fish weight",IF($D26+$E26+$F26&gt;$N26+$O26+$P26,"✗ some value-added not applied — 15 lb min per fish / species not eligible — bills as fillet",IF(AND(INDEX(Rates!$B$27:$B$35,$M26)=1,$C26&gt;=Rates!$B$24,$C26&lt;=Rates!$C$24),"~ borderline 10–14 lb — tier may flip at the scale","✓")))))</f>
        <v/>
      </c>
      <c r="H26" s="15" t="str">
        <f aca="false">IF($B26="","",IF($Q26=1,"under-12",""))</f>
        <v/>
      </c>
      <c r="I26" s="15" t="str">
        <f aca="false">IF($M26=0,"",MAX(0,$C26-($N26+$O26+$P26)))</f>
        <v/>
      </c>
      <c r="J26" s="16" t="n">
        <f aca="false">IF($M26=0,0,MAX(0,$C26-($N26+$O26+$P26))*IF($Q26=1,Rates!$B$7,Rates!$B$6)+$N26*Rates!$B$8+$O26*Rates!$B$9+$P26*Rates!$B$10)</f>
        <v>0</v>
      </c>
      <c r="K26" s="16" t="n">
        <f aca="false">IF($M26=0,0,MAX(0,$C26-($N26+$O26+$P26))*IF($Q26=1,Rates!$C$7,Rates!$C$6)+$N26*Rates!$C$8+$O26*Rates!$C$9+$P26*Rates!$C$10)</f>
        <v>0</v>
      </c>
      <c r="M26" s="3" t="n">
        <f aca="false">IFERROR(MATCH($B26,Rates!$A$27:$A$35,0),0)</f>
        <v>0</v>
      </c>
      <c r="N26" s="3" t="n">
        <f aca="false">IF($M26=0,0,IF(AND(INDEX(Rates!$C$27:$C$35,$M26)=1,$D26&gt;=Rates!$B$22),$D26,0))</f>
        <v>0</v>
      </c>
      <c r="O26" s="3" t="n">
        <f aca="false">IF($M26=0,0,IF(AND(INDEX(Rates!$D$27:$D$35,$M26)=1,$E26&gt;=Rates!$B$22),$E26,0))</f>
        <v>0</v>
      </c>
      <c r="P26" s="3" t="n">
        <f aca="false">IF($M26=0,0,IF(AND(INDEX(Rates!$E$27:$E$35,$M26)=1,$F26&gt;=Rates!$B$22),$F26,0))</f>
        <v>0</v>
      </c>
      <c r="Q26" s="3" t="n">
        <f aca="false">IF($M26=0,0,IF(AND(INDEX(Rates!$B$27:$B$35,$M26)=1,$C26&lt;Rates!$B$23),1,0))</f>
        <v>0</v>
      </c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5" t="str">
        <f aca="false">IF($B27="","",IF($M27=0,"✗ unknown species",IF($N27+$O27+$P27&gt;$C27,"✗ allocated more than fish weight",IF($D27+$E27+$F27&gt;$N27+$O27+$P27,"✗ some value-added not applied — 15 lb min per fish / species not eligible — bills as fillet",IF(AND(INDEX(Rates!$B$27:$B$35,$M27)=1,$C27&gt;=Rates!$B$24,$C27&lt;=Rates!$C$24),"~ borderline 10–14 lb — tier may flip at the scale","✓")))))</f>
        <v/>
      </c>
      <c r="H27" s="15" t="str">
        <f aca="false">IF($B27="","",IF($Q27=1,"under-12",""))</f>
        <v/>
      </c>
      <c r="I27" s="15" t="str">
        <f aca="false">IF($M27=0,"",MAX(0,$C27-($N27+$O27+$P27)))</f>
        <v/>
      </c>
      <c r="J27" s="16" t="n">
        <f aca="false">IF($M27=0,0,MAX(0,$C27-($N27+$O27+$P27))*IF($Q27=1,Rates!$B$7,Rates!$B$6)+$N27*Rates!$B$8+$O27*Rates!$B$9+$P27*Rates!$B$10)</f>
        <v>0</v>
      </c>
      <c r="K27" s="16" t="n">
        <f aca="false">IF($M27=0,0,MAX(0,$C27-($N27+$O27+$P27))*IF($Q27=1,Rates!$C$7,Rates!$C$6)+$N27*Rates!$C$8+$O27*Rates!$C$9+$P27*Rates!$C$10)</f>
        <v>0</v>
      </c>
      <c r="M27" s="3" t="n">
        <f aca="false">IFERROR(MATCH($B27,Rates!$A$27:$A$35,0),0)</f>
        <v>0</v>
      </c>
      <c r="N27" s="3" t="n">
        <f aca="false">IF($M27=0,0,IF(AND(INDEX(Rates!$C$27:$C$35,$M27)=1,$D27&gt;=Rates!$B$22),$D27,0))</f>
        <v>0</v>
      </c>
      <c r="O27" s="3" t="n">
        <f aca="false">IF($M27=0,0,IF(AND(INDEX(Rates!$D$27:$D$35,$M27)=1,$E27&gt;=Rates!$B$22),$E27,0))</f>
        <v>0</v>
      </c>
      <c r="P27" s="3" t="n">
        <f aca="false">IF($M27=0,0,IF(AND(INDEX(Rates!$E$27:$E$35,$M27)=1,$F27&gt;=Rates!$B$22),$F27,0))</f>
        <v>0</v>
      </c>
      <c r="Q27" s="3" t="n">
        <f aca="false">IF($M27=0,0,IF(AND(INDEX(Rates!$B$27:$B$35,$M27)=1,$C27&lt;Rates!$B$23),1,0))</f>
        <v>0</v>
      </c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5" t="str">
        <f aca="false">IF($B28="","",IF($M28=0,"✗ unknown species",IF($N28+$O28+$P28&gt;$C28,"✗ allocated more than fish weight",IF($D28+$E28+$F28&gt;$N28+$O28+$P28,"✗ some value-added not applied — 15 lb min per fish / species not eligible — bills as fillet",IF(AND(INDEX(Rates!$B$27:$B$35,$M28)=1,$C28&gt;=Rates!$B$24,$C28&lt;=Rates!$C$24),"~ borderline 10–14 lb — tier may flip at the scale","✓")))))</f>
        <v/>
      </c>
      <c r="H28" s="15" t="str">
        <f aca="false">IF($B28="","",IF($Q28=1,"under-12",""))</f>
        <v/>
      </c>
      <c r="I28" s="15" t="str">
        <f aca="false">IF($M28=0,"",MAX(0,$C28-($N28+$O28+$P28)))</f>
        <v/>
      </c>
      <c r="J28" s="16" t="n">
        <f aca="false">IF($M28=0,0,MAX(0,$C28-($N28+$O28+$P28))*IF($Q28=1,Rates!$B$7,Rates!$B$6)+$N28*Rates!$B$8+$O28*Rates!$B$9+$P28*Rates!$B$10)</f>
        <v>0</v>
      </c>
      <c r="K28" s="16" t="n">
        <f aca="false">IF($M28=0,0,MAX(0,$C28-($N28+$O28+$P28))*IF($Q28=1,Rates!$C$7,Rates!$C$6)+$N28*Rates!$C$8+$O28*Rates!$C$9+$P28*Rates!$C$10)</f>
        <v>0</v>
      </c>
      <c r="M28" s="3" t="n">
        <f aca="false">IFERROR(MATCH($B28,Rates!$A$27:$A$35,0),0)</f>
        <v>0</v>
      </c>
      <c r="N28" s="3" t="n">
        <f aca="false">IF($M28=0,0,IF(AND(INDEX(Rates!$C$27:$C$35,$M28)=1,$D28&gt;=Rates!$B$22),$D28,0))</f>
        <v>0</v>
      </c>
      <c r="O28" s="3" t="n">
        <f aca="false">IF($M28=0,0,IF(AND(INDEX(Rates!$D$27:$D$35,$M28)=1,$E28&gt;=Rates!$B$22),$E28,0))</f>
        <v>0</v>
      </c>
      <c r="P28" s="3" t="n">
        <f aca="false">IF($M28=0,0,IF(AND(INDEX(Rates!$E$27:$E$35,$M28)=1,$F28&gt;=Rates!$B$22),$F28,0))</f>
        <v>0</v>
      </c>
      <c r="Q28" s="3" t="n">
        <f aca="false">IF($M28=0,0,IF(AND(INDEX(Rates!$B$27:$B$35,$M28)=1,$C28&lt;Rates!$B$23),1,0))</f>
        <v>0</v>
      </c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5" t="str">
        <f aca="false">IF($B29="","",IF($M29=0,"✗ unknown species",IF($N29+$O29+$P29&gt;$C29,"✗ allocated more than fish weight",IF($D29+$E29+$F29&gt;$N29+$O29+$P29,"✗ some value-added not applied — 15 lb min per fish / species not eligible — bills as fillet",IF(AND(INDEX(Rates!$B$27:$B$35,$M29)=1,$C29&gt;=Rates!$B$24,$C29&lt;=Rates!$C$24),"~ borderline 10–14 lb — tier may flip at the scale","✓")))))</f>
        <v/>
      </c>
      <c r="H29" s="15" t="str">
        <f aca="false">IF($B29="","",IF($Q29=1,"under-12",""))</f>
        <v/>
      </c>
      <c r="I29" s="15" t="str">
        <f aca="false">IF($M29=0,"",MAX(0,$C29-($N29+$O29+$P29)))</f>
        <v/>
      </c>
      <c r="J29" s="16" t="n">
        <f aca="false">IF($M29=0,0,MAX(0,$C29-($N29+$O29+$P29))*IF($Q29=1,Rates!$B$7,Rates!$B$6)+$N29*Rates!$B$8+$O29*Rates!$B$9+$P29*Rates!$B$10)</f>
        <v>0</v>
      </c>
      <c r="K29" s="16" t="n">
        <f aca="false">IF($M29=0,0,MAX(0,$C29-($N29+$O29+$P29))*IF($Q29=1,Rates!$C$7,Rates!$C$6)+$N29*Rates!$C$8+$O29*Rates!$C$9+$P29*Rates!$C$10)</f>
        <v>0</v>
      </c>
      <c r="M29" s="3" t="n">
        <f aca="false">IFERROR(MATCH($B29,Rates!$A$27:$A$35,0),0)</f>
        <v>0</v>
      </c>
      <c r="N29" s="3" t="n">
        <f aca="false">IF($M29=0,0,IF(AND(INDEX(Rates!$C$27:$C$35,$M29)=1,$D29&gt;=Rates!$B$22),$D29,0))</f>
        <v>0</v>
      </c>
      <c r="O29" s="3" t="n">
        <f aca="false">IF($M29=0,0,IF(AND(INDEX(Rates!$D$27:$D$35,$M29)=1,$E29&gt;=Rates!$B$22),$E29,0))</f>
        <v>0</v>
      </c>
      <c r="P29" s="3" t="n">
        <f aca="false">IF($M29=0,0,IF(AND(INDEX(Rates!$E$27:$E$35,$M29)=1,$F29&gt;=Rates!$B$22),$F29,0))</f>
        <v>0</v>
      </c>
      <c r="Q29" s="3" t="n">
        <f aca="false">IF($M29=0,0,IF(AND(INDEX(Rates!$B$27:$B$35,$M29)=1,$C29&lt;Rates!$B$23),1,0))</f>
        <v>0</v>
      </c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5" t="str">
        <f aca="false">IF($B30="","",IF($M30=0,"✗ unknown species",IF($N30+$O30+$P30&gt;$C30,"✗ allocated more than fish weight",IF($D30+$E30+$F30&gt;$N30+$O30+$P30,"✗ some value-added not applied — 15 lb min per fish / species not eligible — bills as fillet",IF(AND(INDEX(Rates!$B$27:$B$35,$M30)=1,$C30&gt;=Rates!$B$24,$C30&lt;=Rates!$C$24),"~ borderline 10–14 lb — tier may flip at the scale","✓")))))</f>
        <v/>
      </c>
      <c r="H30" s="15" t="str">
        <f aca="false">IF($B30="","",IF($Q30=1,"under-12",""))</f>
        <v/>
      </c>
      <c r="I30" s="15" t="str">
        <f aca="false">IF($M30=0,"",MAX(0,$C30-($N30+$O30+$P30)))</f>
        <v/>
      </c>
      <c r="J30" s="16" t="n">
        <f aca="false">IF($M30=0,0,MAX(0,$C30-($N30+$O30+$P30))*IF($Q30=1,Rates!$B$7,Rates!$B$6)+$N30*Rates!$B$8+$O30*Rates!$B$9+$P30*Rates!$B$10)</f>
        <v>0</v>
      </c>
      <c r="K30" s="16" t="n">
        <f aca="false">IF($M30=0,0,MAX(0,$C30-($N30+$O30+$P30))*IF($Q30=1,Rates!$C$7,Rates!$C$6)+$N30*Rates!$C$8+$O30*Rates!$C$9+$P30*Rates!$C$10)</f>
        <v>0</v>
      </c>
      <c r="M30" s="3" t="n">
        <f aca="false">IFERROR(MATCH($B30,Rates!$A$27:$A$35,0),0)</f>
        <v>0</v>
      </c>
      <c r="N30" s="3" t="n">
        <f aca="false">IF($M30=0,0,IF(AND(INDEX(Rates!$C$27:$C$35,$M30)=1,$D30&gt;=Rates!$B$22),$D30,0))</f>
        <v>0</v>
      </c>
      <c r="O30" s="3" t="n">
        <f aca="false">IF($M30=0,0,IF(AND(INDEX(Rates!$D$27:$D$35,$M30)=1,$E30&gt;=Rates!$B$22),$E30,0))</f>
        <v>0</v>
      </c>
      <c r="P30" s="3" t="n">
        <f aca="false">IF($M30=0,0,IF(AND(INDEX(Rates!$E$27:$E$35,$M30)=1,$F30&gt;=Rates!$B$22),$F30,0))</f>
        <v>0</v>
      </c>
      <c r="Q30" s="3" t="n">
        <f aca="false">IF($M30=0,0,IF(AND(INDEX(Rates!$B$27:$B$35,$M30)=1,$C30&lt;Rates!$B$23),1,0))</f>
        <v>0</v>
      </c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5" t="str">
        <f aca="false">IF($B31="","",IF($M31=0,"✗ unknown species",IF($N31+$O31+$P31&gt;$C31,"✗ allocated more than fish weight",IF($D31+$E31+$F31&gt;$N31+$O31+$P31,"✗ some value-added not applied — 15 lb min per fish / species not eligible — bills as fillet",IF(AND(INDEX(Rates!$B$27:$B$35,$M31)=1,$C31&gt;=Rates!$B$24,$C31&lt;=Rates!$C$24),"~ borderline 10–14 lb — tier may flip at the scale","✓")))))</f>
        <v/>
      </c>
      <c r="H31" s="15" t="str">
        <f aca="false">IF($B31="","",IF($Q31=1,"under-12",""))</f>
        <v/>
      </c>
      <c r="I31" s="15" t="str">
        <f aca="false">IF($M31=0,"",MAX(0,$C31-($N31+$O31+$P31)))</f>
        <v/>
      </c>
      <c r="J31" s="16" t="n">
        <f aca="false">IF($M31=0,0,MAX(0,$C31-($N31+$O31+$P31))*IF($Q31=1,Rates!$B$7,Rates!$B$6)+$N31*Rates!$B$8+$O31*Rates!$B$9+$P31*Rates!$B$10)</f>
        <v>0</v>
      </c>
      <c r="K31" s="16" t="n">
        <f aca="false">IF($M31=0,0,MAX(0,$C31-($N31+$O31+$P31))*IF($Q31=1,Rates!$C$7,Rates!$C$6)+$N31*Rates!$C$8+$O31*Rates!$C$9+$P31*Rates!$C$10)</f>
        <v>0</v>
      </c>
      <c r="M31" s="3" t="n">
        <f aca="false">IFERROR(MATCH($B31,Rates!$A$27:$A$35,0),0)</f>
        <v>0</v>
      </c>
      <c r="N31" s="3" t="n">
        <f aca="false">IF($M31=0,0,IF(AND(INDEX(Rates!$C$27:$C$35,$M31)=1,$D31&gt;=Rates!$B$22),$D31,0))</f>
        <v>0</v>
      </c>
      <c r="O31" s="3" t="n">
        <f aca="false">IF($M31=0,0,IF(AND(INDEX(Rates!$D$27:$D$35,$M31)=1,$E31&gt;=Rates!$B$22),$E31,0))</f>
        <v>0</v>
      </c>
      <c r="P31" s="3" t="n">
        <f aca="false">IF($M31=0,0,IF(AND(INDEX(Rates!$E$27:$E$35,$M31)=1,$F31&gt;=Rates!$B$22),$F31,0))</f>
        <v>0</v>
      </c>
      <c r="Q31" s="3" t="n">
        <f aca="false">IF($M31=0,0,IF(AND(INDEX(Rates!$B$27:$B$35,$M31)=1,$C31&lt;Rates!$B$23),1,0))</f>
        <v>0</v>
      </c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5" t="str">
        <f aca="false">IF($B32="","",IF($M32=0,"✗ unknown species",IF($N32+$O32+$P32&gt;$C32,"✗ allocated more than fish weight",IF($D32+$E32+$F32&gt;$N32+$O32+$P32,"✗ some value-added not applied — 15 lb min per fish / species not eligible — bills as fillet",IF(AND(INDEX(Rates!$B$27:$B$35,$M32)=1,$C32&gt;=Rates!$B$24,$C32&lt;=Rates!$C$24),"~ borderline 10–14 lb — tier may flip at the scale","✓")))))</f>
        <v/>
      </c>
      <c r="H32" s="15" t="str">
        <f aca="false">IF($B32="","",IF($Q32=1,"under-12",""))</f>
        <v/>
      </c>
      <c r="I32" s="15" t="str">
        <f aca="false">IF($M32=0,"",MAX(0,$C32-($N32+$O32+$P32)))</f>
        <v/>
      </c>
      <c r="J32" s="16" t="n">
        <f aca="false">IF($M32=0,0,MAX(0,$C32-($N32+$O32+$P32))*IF($Q32=1,Rates!$B$7,Rates!$B$6)+$N32*Rates!$B$8+$O32*Rates!$B$9+$P32*Rates!$B$10)</f>
        <v>0</v>
      </c>
      <c r="K32" s="16" t="n">
        <f aca="false">IF($M32=0,0,MAX(0,$C32-($N32+$O32+$P32))*IF($Q32=1,Rates!$C$7,Rates!$C$6)+$N32*Rates!$C$8+$O32*Rates!$C$9+$P32*Rates!$C$10)</f>
        <v>0</v>
      </c>
      <c r="M32" s="3" t="n">
        <f aca="false">IFERROR(MATCH($B32,Rates!$A$27:$A$35,0),0)</f>
        <v>0</v>
      </c>
      <c r="N32" s="3" t="n">
        <f aca="false">IF($M32=0,0,IF(AND(INDEX(Rates!$C$27:$C$35,$M32)=1,$D32&gt;=Rates!$B$22),$D32,0))</f>
        <v>0</v>
      </c>
      <c r="O32" s="3" t="n">
        <f aca="false">IF($M32=0,0,IF(AND(INDEX(Rates!$D$27:$D$35,$M32)=1,$E32&gt;=Rates!$B$22),$E32,0))</f>
        <v>0</v>
      </c>
      <c r="P32" s="3" t="n">
        <f aca="false">IF($M32=0,0,IF(AND(INDEX(Rates!$E$27:$E$35,$M32)=1,$F32&gt;=Rates!$B$22),$F32,0))</f>
        <v>0</v>
      </c>
      <c r="Q32" s="3" t="n">
        <f aca="false">IF($M32=0,0,IF(AND(INDEX(Rates!$B$27:$B$35,$M32)=1,$C32&lt;Rates!$B$23),1,0))</f>
        <v>0</v>
      </c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5" t="str">
        <f aca="false">IF($B33="","",IF($M33=0,"✗ unknown species",IF($N33+$O33+$P33&gt;$C33,"✗ allocated more than fish weight",IF($D33+$E33+$F33&gt;$N33+$O33+$P33,"✗ some value-added not applied — 15 lb min per fish / species not eligible — bills as fillet",IF(AND(INDEX(Rates!$B$27:$B$35,$M33)=1,$C33&gt;=Rates!$B$24,$C33&lt;=Rates!$C$24),"~ borderline 10–14 lb — tier may flip at the scale","✓")))))</f>
        <v/>
      </c>
      <c r="H33" s="15" t="str">
        <f aca="false">IF($B33="","",IF($Q33=1,"under-12",""))</f>
        <v/>
      </c>
      <c r="I33" s="15" t="str">
        <f aca="false">IF($M33=0,"",MAX(0,$C33-($N33+$O33+$P33)))</f>
        <v/>
      </c>
      <c r="J33" s="16" t="n">
        <f aca="false">IF($M33=0,0,MAX(0,$C33-($N33+$O33+$P33))*IF($Q33=1,Rates!$B$7,Rates!$B$6)+$N33*Rates!$B$8+$O33*Rates!$B$9+$P33*Rates!$B$10)</f>
        <v>0</v>
      </c>
      <c r="K33" s="16" t="n">
        <f aca="false">IF($M33=0,0,MAX(0,$C33-($N33+$O33+$P33))*IF($Q33=1,Rates!$C$7,Rates!$C$6)+$N33*Rates!$C$8+$O33*Rates!$C$9+$P33*Rates!$C$10)</f>
        <v>0</v>
      </c>
      <c r="M33" s="3" t="n">
        <f aca="false">IFERROR(MATCH($B33,Rates!$A$27:$A$35,0),0)</f>
        <v>0</v>
      </c>
      <c r="N33" s="3" t="n">
        <f aca="false">IF($M33=0,0,IF(AND(INDEX(Rates!$C$27:$C$35,$M33)=1,$D33&gt;=Rates!$B$22),$D33,0))</f>
        <v>0</v>
      </c>
      <c r="O33" s="3" t="n">
        <f aca="false">IF($M33=0,0,IF(AND(INDEX(Rates!$D$27:$D$35,$M33)=1,$E33&gt;=Rates!$B$22),$E33,0))</f>
        <v>0</v>
      </c>
      <c r="P33" s="3" t="n">
        <f aca="false">IF($M33=0,0,IF(AND(INDEX(Rates!$E$27:$E$35,$M33)=1,$F33&gt;=Rates!$B$22),$F33,0))</f>
        <v>0</v>
      </c>
      <c r="Q33" s="3" t="n">
        <f aca="false">IF($M33=0,0,IF(AND(INDEX(Rates!$B$27:$B$35,$M33)=1,$C33&lt;Rates!$B$23),1,0))</f>
        <v>0</v>
      </c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5" t="str">
        <f aca="false">IF($B34="","",IF($M34=0,"✗ unknown species",IF($N34+$O34+$P34&gt;$C34,"✗ allocated more than fish weight",IF($D34+$E34+$F34&gt;$N34+$O34+$P34,"✗ some value-added not applied — 15 lb min per fish / species not eligible — bills as fillet",IF(AND(INDEX(Rates!$B$27:$B$35,$M34)=1,$C34&gt;=Rates!$B$24,$C34&lt;=Rates!$C$24),"~ borderline 10–14 lb — tier may flip at the scale","✓")))))</f>
        <v/>
      </c>
      <c r="H34" s="15" t="str">
        <f aca="false">IF($B34="","",IF($Q34=1,"under-12",""))</f>
        <v/>
      </c>
      <c r="I34" s="15" t="str">
        <f aca="false">IF($M34=0,"",MAX(0,$C34-($N34+$O34+$P34)))</f>
        <v/>
      </c>
      <c r="J34" s="16" t="n">
        <f aca="false">IF($M34=0,0,MAX(0,$C34-($N34+$O34+$P34))*IF($Q34=1,Rates!$B$7,Rates!$B$6)+$N34*Rates!$B$8+$O34*Rates!$B$9+$P34*Rates!$B$10)</f>
        <v>0</v>
      </c>
      <c r="K34" s="16" t="n">
        <f aca="false">IF($M34=0,0,MAX(0,$C34-($N34+$O34+$P34))*IF($Q34=1,Rates!$C$7,Rates!$C$6)+$N34*Rates!$C$8+$O34*Rates!$C$9+$P34*Rates!$C$10)</f>
        <v>0</v>
      </c>
      <c r="M34" s="3" t="n">
        <f aca="false">IFERROR(MATCH($B34,Rates!$A$27:$A$35,0),0)</f>
        <v>0</v>
      </c>
      <c r="N34" s="3" t="n">
        <f aca="false">IF($M34=0,0,IF(AND(INDEX(Rates!$C$27:$C$35,$M34)=1,$D34&gt;=Rates!$B$22),$D34,0))</f>
        <v>0</v>
      </c>
      <c r="O34" s="3" t="n">
        <f aca="false">IF($M34=0,0,IF(AND(INDEX(Rates!$D$27:$D$35,$M34)=1,$E34&gt;=Rates!$B$22),$E34,0))</f>
        <v>0</v>
      </c>
      <c r="P34" s="3" t="n">
        <f aca="false">IF($M34=0,0,IF(AND(INDEX(Rates!$E$27:$E$35,$M34)=1,$F34&gt;=Rates!$B$22),$F34,0))</f>
        <v>0</v>
      </c>
      <c r="Q34" s="3" t="n">
        <f aca="false">IF($M34=0,0,IF(AND(INDEX(Rates!$B$27:$B$35,$M34)=1,$C34&lt;Rates!$B$23),1,0))</f>
        <v>0</v>
      </c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5" t="str">
        <f aca="false">IF($B35="","",IF($M35=0,"✗ unknown species",IF($N35+$O35+$P35&gt;$C35,"✗ allocated more than fish weight",IF($D35+$E35+$F35&gt;$N35+$O35+$P35,"✗ some value-added not applied — 15 lb min per fish / species not eligible — bills as fillet",IF(AND(INDEX(Rates!$B$27:$B$35,$M35)=1,$C35&gt;=Rates!$B$24,$C35&lt;=Rates!$C$24),"~ borderline 10–14 lb — tier may flip at the scale","✓")))))</f>
        <v/>
      </c>
      <c r="H35" s="15" t="str">
        <f aca="false">IF($B35="","",IF($Q35=1,"under-12",""))</f>
        <v/>
      </c>
      <c r="I35" s="15" t="str">
        <f aca="false">IF($M35=0,"",MAX(0,$C35-($N35+$O35+$P35)))</f>
        <v/>
      </c>
      <c r="J35" s="16" t="n">
        <f aca="false">IF($M35=0,0,MAX(0,$C35-($N35+$O35+$P35))*IF($Q35=1,Rates!$B$7,Rates!$B$6)+$N35*Rates!$B$8+$O35*Rates!$B$9+$P35*Rates!$B$10)</f>
        <v>0</v>
      </c>
      <c r="K35" s="16" t="n">
        <f aca="false">IF($M35=0,0,MAX(0,$C35-($N35+$O35+$P35))*IF($Q35=1,Rates!$C$7,Rates!$C$6)+$N35*Rates!$C$8+$O35*Rates!$C$9+$P35*Rates!$C$10)</f>
        <v>0</v>
      </c>
      <c r="M35" s="3" t="n">
        <f aca="false">IFERROR(MATCH($B35,Rates!$A$27:$A$35,0),0)</f>
        <v>0</v>
      </c>
      <c r="N35" s="3" t="n">
        <f aca="false">IF($M35=0,0,IF(AND(INDEX(Rates!$C$27:$C$35,$M35)=1,$D35&gt;=Rates!$B$22),$D35,0))</f>
        <v>0</v>
      </c>
      <c r="O35" s="3" t="n">
        <f aca="false">IF($M35=0,0,IF(AND(INDEX(Rates!$D$27:$D$35,$M35)=1,$E35&gt;=Rates!$B$22),$E35,0))</f>
        <v>0</v>
      </c>
      <c r="P35" s="3" t="n">
        <f aca="false">IF($M35=0,0,IF(AND(INDEX(Rates!$E$27:$E$35,$M35)=1,$F35&gt;=Rates!$B$22),$F35,0))</f>
        <v>0</v>
      </c>
      <c r="Q35" s="3" t="n">
        <f aca="false">IF($M35=0,0,IF(AND(INDEX(Rates!$B$27:$B$35,$M35)=1,$C35&lt;Rates!$B$23),1,0))</f>
        <v>0</v>
      </c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5" t="str">
        <f aca="false">IF($B36="","",IF($M36=0,"✗ unknown species",IF($N36+$O36+$P36&gt;$C36,"✗ allocated more than fish weight",IF($D36+$E36+$F36&gt;$N36+$O36+$P36,"✗ some value-added not applied — 15 lb min per fish / species not eligible — bills as fillet",IF(AND(INDEX(Rates!$B$27:$B$35,$M36)=1,$C36&gt;=Rates!$B$24,$C36&lt;=Rates!$C$24),"~ borderline 10–14 lb — tier may flip at the scale","✓")))))</f>
        <v/>
      </c>
      <c r="H36" s="15" t="str">
        <f aca="false">IF($B36="","",IF($Q36=1,"under-12",""))</f>
        <v/>
      </c>
      <c r="I36" s="15" t="str">
        <f aca="false">IF($M36=0,"",MAX(0,$C36-($N36+$O36+$P36)))</f>
        <v/>
      </c>
      <c r="J36" s="16" t="n">
        <f aca="false">IF($M36=0,0,MAX(0,$C36-($N36+$O36+$P36))*IF($Q36=1,Rates!$B$7,Rates!$B$6)+$N36*Rates!$B$8+$O36*Rates!$B$9+$P36*Rates!$B$10)</f>
        <v>0</v>
      </c>
      <c r="K36" s="16" t="n">
        <f aca="false">IF($M36=0,0,MAX(0,$C36-($N36+$O36+$P36))*IF($Q36=1,Rates!$C$7,Rates!$C$6)+$N36*Rates!$C$8+$O36*Rates!$C$9+$P36*Rates!$C$10)</f>
        <v>0</v>
      </c>
      <c r="M36" s="3" t="n">
        <f aca="false">IFERROR(MATCH($B36,Rates!$A$27:$A$35,0),0)</f>
        <v>0</v>
      </c>
      <c r="N36" s="3" t="n">
        <f aca="false">IF($M36=0,0,IF(AND(INDEX(Rates!$C$27:$C$35,$M36)=1,$D36&gt;=Rates!$B$22),$D36,0))</f>
        <v>0</v>
      </c>
      <c r="O36" s="3" t="n">
        <f aca="false">IF($M36=0,0,IF(AND(INDEX(Rates!$D$27:$D$35,$M36)=1,$E36&gt;=Rates!$B$22),$E36,0))</f>
        <v>0</v>
      </c>
      <c r="P36" s="3" t="n">
        <f aca="false">IF($M36=0,0,IF(AND(INDEX(Rates!$E$27:$E$35,$M36)=1,$F36&gt;=Rates!$B$22),$F36,0))</f>
        <v>0</v>
      </c>
      <c r="Q36" s="3" t="n">
        <f aca="false">IF($M36=0,0,IF(AND(INDEX(Rates!$B$27:$B$35,$M36)=1,$C36&lt;Rates!$B$23),1,0))</f>
        <v>0</v>
      </c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5" t="str">
        <f aca="false">IF($B37="","",IF($M37=0,"✗ unknown species",IF($N37+$O37+$P37&gt;$C37,"✗ allocated more than fish weight",IF($D37+$E37+$F37&gt;$N37+$O37+$P37,"✗ some value-added not applied — 15 lb min per fish / species not eligible — bills as fillet",IF(AND(INDEX(Rates!$B$27:$B$35,$M37)=1,$C37&gt;=Rates!$B$24,$C37&lt;=Rates!$C$24),"~ borderline 10–14 lb — tier may flip at the scale","✓")))))</f>
        <v/>
      </c>
      <c r="H37" s="15" t="str">
        <f aca="false">IF($B37="","",IF($Q37=1,"under-12",""))</f>
        <v/>
      </c>
      <c r="I37" s="15" t="str">
        <f aca="false">IF($M37=0,"",MAX(0,$C37-($N37+$O37+$P37)))</f>
        <v/>
      </c>
      <c r="J37" s="16" t="n">
        <f aca="false">IF($M37=0,0,MAX(0,$C37-($N37+$O37+$P37))*IF($Q37=1,Rates!$B$7,Rates!$B$6)+$N37*Rates!$B$8+$O37*Rates!$B$9+$P37*Rates!$B$10)</f>
        <v>0</v>
      </c>
      <c r="K37" s="16" t="n">
        <f aca="false">IF($M37=0,0,MAX(0,$C37-($N37+$O37+$P37))*IF($Q37=1,Rates!$C$7,Rates!$C$6)+$N37*Rates!$C$8+$O37*Rates!$C$9+$P37*Rates!$C$10)</f>
        <v>0</v>
      </c>
      <c r="M37" s="3" t="n">
        <f aca="false">IFERROR(MATCH($B37,Rates!$A$27:$A$35,0),0)</f>
        <v>0</v>
      </c>
      <c r="N37" s="3" t="n">
        <f aca="false">IF($M37=0,0,IF(AND(INDEX(Rates!$C$27:$C$35,$M37)=1,$D37&gt;=Rates!$B$22),$D37,0))</f>
        <v>0</v>
      </c>
      <c r="O37" s="3" t="n">
        <f aca="false">IF($M37=0,0,IF(AND(INDEX(Rates!$D$27:$D$35,$M37)=1,$E37&gt;=Rates!$B$22),$E37,0))</f>
        <v>0</v>
      </c>
      <c r="P37" s="3" t="n">
        <f aca="false">IF($M37=0,0,IF(AND(INDEX(Rates!$E$27:$E$35,$M37)=1,$F37&gt;=Rates!$B$22),$F37,0))</f>
        <v>0</v>
      </c>
      <c r="Q37" s="3" t="n">
        <f aca="false">IF($M37=0,0,IF(AND(INDEX(Rates!$B$27:$B$35,$M37)=1,$C37&lt;Rates!$B$23),1,0))</f>
        <v>0</v>
      </c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5" t="str">
        <f aca="false">IF($B38="","",IF($M38=0,"✗ unknown species",IF($N38+$O38+$P38&gt;$C38,"✗ allocated more than fish weight",IF($D38+$E38+$F38&gt;$N38+$O38+$P38,"✗ some value-added not applied — 15 lb min per fish / species not eligible — bills as fillet",IF(AND(INDEX(Rates!$B$27:$B$35,$M38)=1,$C38&gt;=Rates!$B$24,$C38&lt;=Rates!$C$24),"~ borderline 10–14 lb — tier may flip at the scale","✓")))))</f>
        <v/>
      </c>
      <c r="H38" s="15" t="str">
        <f aca="false">IF($B38="","",IF($Q38=1,"under-12",""))</f>
        <v/>
      </c>
      <c r="I38" s="15" t="str">
        <f aca="false">IF($M38=0,"",MAX(0,$C38-($N38+$O38+$P38)))</f>
        <v/>
      </c>
      <c r="J38" s="16" t="n">
        <f aca="false">IF($M38=0,0,MAX(0,$C38-($N38+$O38+$P38))*IF($Q38=1,Rates!$B$7,Rates!$B$6)+$N38*Rates!$B$8+$O38*Rates!$B$9+$P38*Rates!$B$10)</f>
        <v>0</v>
      </c>
      <c r="K38" s="16" t="n">
        <f aca="false">IF($M38=0,0,MAX(0,$C38-($N38+$O38+$P38))*IF($Q38=1,Rates!$C$7,Rates!$C$6)+$N38*Rates!$C$8+$O38*Rates!$C$9+$P38*Rates!$C$10)</f>
        <v>0</v>
      </c>
      <c r="M38" s="3" t="n">
        <f aca="false">IFERROR(MATCH($B38,Rates!$A$27:$A$35,0),0)</f>
        <v>0</v>
      </c>
      <c r="N38" s="3" t="n">
        <f aca="false">IF($M38=0,0,IF(AND(INDEX(Rates!$C$27:$C$35,$M38)=1,$D38&gt;=Rates!$B$22),$D38,0))</f>
        <v>0</v>
      </c>
      <c r="O38" s="3" t="n">
        <f aca="false">IF($M38=0,0,IF(AND(INDEX(Rates!$D$27:$D$35,$M38)=1,$E38&gt;=Rates!$B$22),$E38,0))</f>
        <v>0</v>
      </c>
      <c r="P38" s="3" t="n">
        <f aca="false">IF($M38=0,0,IF(AND(INDEX(Rates!$E$27:$E$35,$M38)=1,$F38&gt;=Rates!$B$22),$F38,0))</f>
        <v>0</v>
      </c>
      <c r="Q38" s="3" t="n">
        <f aca="false">IF($M38=0,0,IF(AND(INDEX(Rates!$B$27:$B$35,$M38)=1,$C38&lt;Rates!$B$23),1,0))</f>
        <v>0</v>
      </c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5" t="str">
        <f aca="false">IF($B39="","",IF($M39=0,"✗ unknown species",IF($N39+$O39+$P39&gt;$C39,"✗ allocated more than fish weight",IF($D39+$E39+$F39&gt;$N39+$O39+$P39,"✗ some value-added not applied — 15 lb min per fish / species not eligible — bills as fillet",IF(AND(INDEX(Rates!$B$27:$B$35,$M39)=1,$C39&gt;=Rates!$B$24,$C39&lt;=Rates!$C$24),"~ borderline 10–14 lb — tier may flip at the scale","✓")))))</f>
        <v/>
      </c>
      <c r="H39" s="15" t="str">
        <f aca="false">IF($B39="","",IF($Q39=1,"under-12",""))</f>
        <v/>
      </c>
      <c r="I39" s="15" t="str">
        <f aca="false">IF($M39=0,"",MAX(0,$C39-($N39+$O39+$P39)))</f>
        <v/>
      </c>
      <c r="J39" s="16" t="n">
        <f aca="false">IF($M39=0,0,MAX(0,$C39-($N39+$O39+$P39))*IF($Q39=1,Rates!$B$7,Rates!$B$6)+$N39*Rates!$B$8+$O39*Rates!$B$9+$P39*Rates!$B$10)</f>
        <v>0</v>
      </c>
      <c r="K39" s="16" t="n">
        <f aca="false">IF($M39=0,0,MAX(0,$C39-($N39+$O39+$P39))*IF($Q39=1,Rates!$C$7,Rates!$C$6)+$N39*Rates!$C$8+$O39*Rates!$C$9+$P39*Rates!$C$10)</f>
        <v>0</v>
      </c>
      <c r="M39" s="3" t="n">
        <f aca="false">IFERROR(MATCH($B39,Rates!$A$27:$A$35,0),0)</f>
        <v>0</v>
      </c>
      <c r="N39" s="3" t="n">
        <f aca="false">IF($M39=0,0,IF(AND(INDEX(Rates!$C$27:$C$35,$M39)=1,$D39&gt;=Rates!$B$22),$D39,0))</f>
        <v>0</v>
      </c>
      <c r="O39" s="3" t="n">
        <f aca="false">IF($M39=0,0,IF(AND(INDEX(Rates!$D$27:$D$35,$M39)=1,$E39&gt;=Rates!$B$22),$E39,0))</f>
        <v>0</v>
      </c>
      <c r="P39" s="3" t="n">
        <f aca="false">IF($M39=0,0,IF(AND(INDEX(Rates!$E$27:$E$35,$M39)=1,$F39&gt;=Rates!$B$22),$F39,0))</f>
        <v>0</v>
      </c>
      <c r="Q39" s="3" t="n">
        <f aca="false">IF($M39=0,0,IF(AND(INDEX(Rates!$B$27:$B$35,$M39)=1,$C39&lt;Rates!$B$23),1,0))</f>
        <v>0</v>
      </c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5" t="str">
        <f aca="false">IF($B40="","",IF($M40=0,"✗ unknown species",IF($N40+$O40+$P40&gt;$C40,"✗ allocated more than fish weight",IF($D40+$E40+$F40&gt;$N40+$O40+$P40,"✗ some value-added not applied — 15 lb min per fish / species not eligible — bills as fillet",IF(AND(INDEX(Rates!$B$27:$B$35,$M40)=1,$C40&gt;=Rates!$B$24,$C40&lt;=Rates!$C$24),"~ borderline 10–14 lb — tier may flip at the scale","✓")))))</f>
        <v/>
      </c>
      <c r="H40" s="15" t="str">
        <f aca="false">IF($B40="","",IF($Q40=1,"under-12",""))</f>
        <v/>
      </c>
      <c r="I40" s="15" t="str">
        <f aca="false">IF($M40=0,"",MAX(0,$C40-($N40+$O40+$P40)))</f>
        <v/>
      </c>
      <c r="J40" s="16" t="n">
        <f aca="false">IF($M40=0,0,MAX(0,$C40-($N40+$O40+$P40))*IF($Q40=1,Rates!$B$7,Rates!$B$6)+$N40*Rates!$B$8+$O40*Rates!$B$9+$P40*Rates!$B$10)</f>
        <v>0</v>
      </c>
      <c r="K40" s="16" t="n">
        <f aca="false">IF($M40=0,0,MAX(0,$C40-($N40+$O40+$P40))*IF($Q40=1,Rates!$C$7,Rates!$C$6)+$N40*Rates!$C$8+$O40*Rates!$C$9+$P40*Rates!$C$10)</f>
        <v>0</v>
      </c>
      <c r="M40" s="3" t="n">
        <f aca="false">IFERROR(MATCH($B40,Rates!$A$27:$A$35,0),0)</f>
        <v>0</v>
      </c>
      <c r="N40" s="3" t="n">
        <f aca="false">IF($M40=0,0,IF(AND(INDEX(Rates!$C$27:$C$35,$M40)=1,$D40&gt;=Rates!$B$22),$D40,0))</f>
        <v>0</v>
      </c>
      <c r="O40" s="3" t="n">
        <f aca="false">IF($M40=0,0,IF(AND(INDEX(Rates!$D$27:$D$35,$M40)=1,$E40&gt;=Rates!$B$22),$E40,0))</f>
        <v>0</v>
      </c>
      <c r="P40" s="3" t="n">
        <f aca="false">IF($M40=0,0,IF(AND(INDEX(Rates!$E$27:$E$35,$M40)=1,$F40&gt;=Rates!$B$22),$F40,0))</f>
        <v>0</v>
      </c>
      <c r="Q40" s="3" t="n">
        <f aca="false">IF($M40=0,0,IF(AND(INDEX(Rates!$B$27:$B$35,$M40)=1,$C40&lt;Rates!$B$23),1,0))</f>
        <v>0</v>
      </c>
    </row>
    <row r="41" customFormat="false" ht="15" hidden="false" customHeight="false" outlineLevel="0" collapsed="false">
      <c r="A41" s="14"/>
      <c r="B41" s="14"/>
      <c r="C41" s="14"/>
      <c r="D41" s="14"/>
      <c r="E41" s="14"/>
      <c r="F41" s="14"/>
      <c r="G41" s="15" t="str">
        <f aca="false">IF($B41="","",IF($M41=0,"✗ unknown species",IF($N41+$O41+$P41&gt;$C41,"✗ allocated more than fish weight",IF($D41+$E41+$F41&gt;$N41+$O41+$P41,"✗ some value-added not applied — 15 lb min per fish / species not eligible — bills as fillet",IF(AND(INDEX(Rates!$B$27:$B$35,$M41)=1,$C41&gt;=Rates!$B$24,$C41&lt;=Rates!$C$24),"~ borderline 10–14 lb — tier may flip at the scale","✓")))))</f>
        <v/>
      </c>
      <c r="H41" s="15" t="str">
        <f aca="false">IF($B41="","",IF($Q41=1,"under-12",""))</f>
        <v/>
      </c>
      <c r="I41" s="15" t="str">
        <f aca="false">IF($M41=0,"",MAX(0,$C41-($N41+$O41+$P41)))</f>
        <v/>
      </c>
      <c r="J41" s="16" t="n">
        <f aca="false">IF($M41=0,0,MAX(0,$C41-($N41+$O41+$P41))*IF($Q41=1,Rates!$B$7,Rates!$B$6)+$N41*Rates!$B$8+$O41*Rates!$B$9+$P41*Rates!$B$10)</f>
        <v>0</v>
      </c>
      <c r="K41" s="16" t="n">
        <f aca="false">IF($M41=0,0,MAX(0,$C41-($N41+$O41+$P41))*IF($Q41=1,Rates!$C$7,Rates!$C$6)+$N41*Rates!$C$8+$O41*Rates!$C$9+$P41*Rates!$C$10)</f>
        <v>0</v>
      </c>
      <c r="M41" s="3" t="n">
        <f aca="false">IFERROR(MATCH($B41,Rates!$A$27:$A$35,0),0)</f>
        <v>0</v>
      </c>
      <c r="N41" s="3" t="n">
        <f aca="false">IF($M41=0,0,IF(AND(INDEX(Rates!$C$27:$C$35,$M41)=1,$D41&gt;=Rates!$B$22),$D41,0))</f>
        <v>0</v>
      </c>
      <c r="O41" s="3" t="n">
        <f aca="false">IF($M41=0,0,IF(AND(INDEX(Rates!$D$27:$D$35,$M41)=1,$E41&gt;=Rates!$B$22),$E41,0))</f>
        <v>0</v>
      </c>
      <c r="P41" s="3" t="n">
        <f aca="false">IF($M41=0,0,IF(AND(INDEX(Rates!$E$27:$E$35,$M41)=1,$F41&gt;=Rates!$B$22),$F41,0))</f>
        <v>0</v>
      </c>
      <c r="Q41" s="3" t="n">
        <f aca="false">IF($M41=0,0,IF(AND(INDEX(Rates!$B$27:$B$35,$M41)=1,$C41&lt;Rates!$B$23),1,0))</f>
        <v>0</v>
      </c>
    </row>
    <row r="42" customFormat="false" ht="15" hidden="false" customHeight="false" outlineLevel="0" collapsed="false">
      <c r="A42" s="14"/>
      <c r="B42" s="14"/>
      <c r="C42" s="14"/>
      <c r="D42" s="14"/>
      <c r="E42" s="14"/>
      <c r="F42" s="14"/>
      <c r="G42" s="15" t="str">
        <f aca="false">IF($B42="","",IF($M42=0,"✗ unknown species",IF($N42+$O42+$P42&gt;$C42,"✗ allocated more than fish weight",IF($D42+$E42+$F42&gt;$N42+$O42+$P42,"✗ some value-added not applied — 15 lb min per fish / species not eligible — bills as fillet",IF(AND(INDEX(Rates!$B$27:$B$35,$M42)=1,$C42&gt;=Rates!$B$24,$C42&lt;=Rates!$C$24),"~ borderline 10–14 lb — tier may flip at the scale","✓")))))</f>
        <v/>
      </c>
      <c r="H42" s="15" t="str">
        <f aca="false">IF($B42="","",IF($Q42=1,"under-12",""))</f>
        <v/>
      </c>
      <c r="I42" s="15" t="str">
        <f aca="false">IF($M42=0,"",MAX(0,$C42-($N42+$O42+$P42)))</f>
        <v/>
      </c>
      <c r="J42" s="16" t="n">
        <f aca="false">IF($M42=0,0,MAX(0,$C42-($N42+$O42+$P42))*IF($Q42=1,Rates!$B$7,Rates!$B$6)+$N42*Rates!$B$8+$O42*Rates!$B$9+$P42*Rates!$B$10)</f>
        <v>0</v>
      </c>
      <c r="K42" s="16" t="n">
        <f aca="false">IF($M42=0,0,MAX(0,$C42-($N42+$O42+$P42))*IF($Q42=1,Rates!$C$7,Rates!$C$6)+$N42*Rates!$C$8+$O42*Rates!$C$9+$P42*Rates!$C$10)</f>
        <v>0</v>
      </c>
      <c r="M42" s="3" t="n">
        <f aca="false">IFERROR(MATCH($B42,Rates!$A$27:$A$35,0),0)</f>
        <v>0</v>
      </c>
      <c r="N42" s="3" t="n">
        <f aca="false">IF($M42=0,0,IF(AND(INDEX(Rates!$C$27:$C$35,$M42)=1,$D42&gt;=Rates!$B$22),$D42,0))</f>
        <v>0</v>
      </c>
      <c r="O42" s="3" t="n">
        <f aca="false">IF($M42=0,0,IF(AND(INDEX(Rates!$D$27:$D$35,$M42)=1,$E42&gt;=Rates!$B$22),$E42,0))</f>
        <v>0</v>
      </c>
      <c r="P42" s="3" t="n">
        <f aca="false">IF($M42=0,0,IF(AND(INDEX(Rates!$E$27:$E$35,$M42)=1,$F42&gt;=Rates!$B$22),$F42,0))</f>
        <v>0</v>
      </c>
      <c r="Q42" s="3" t="n">
        <f aca="false">IF($M42=0,0,IF(AND(INDEX(Rates!$B$27:$B$35,$M42)=1,$C42&lt;Rates!$B$23),1,0))</f>
        <v>0</v>
      </c>
    </row>
    <row r="43" customFormat="false" ht="15" hidden="false" customHeight="false" outlineLevel="0" collapsed="false">
      <c r="A43" s="14"/>
      <c r="B43" s="14"/>
      <c r="C43" s="14"/>
      <c r="D43" s="14"/>
      <c r="E43" s="14"/>
      <c r="F43" s="14"/>
      <c r="G43" s="15" t="str">
        <f aca="false">IF($B43="","",IF($M43=0,"✗ unknown species",IF($N43+$O43+$P43&gt;$C43,"✗ allocated more than fish weight",IF($D43+$E43+$F43&gt;$N43+$O43+$P43,"✗ some value-added not applied — 15 lb min per fish / species not eligible — bills as fillet",IF(AND(INDEX(Rates!$B$27:$B$35,$M43)=1,$C43&gt;=Rates!$B$24,$C43&lt;=Rates!$C$24),"~ borderline 10–14 lb — tier may flip at the scale","✓")))))</f>
        <v/>
      </c>
      <c r="H43" s="15" t="str">
        <f aca="false">IF($B43="","",IF($Q43=1,"under-12",""))</f>
        <v/>
      </c>
      <c r="I43" s="15" t="str">
        <f aca="false">IF($M43=0,"",MAX(0,$C43-($N43+$O43+$P43)))</f>
        <v/>
      </c>
      <c r="J43" s="16" t="n">
        <f aca="false">IF($M43=0,0,MAX(0,$C43-($N43+$O43+$P43))*IF($Q43=1,Rates!$B$7,Rates!$B$6)+$N43*Rates!$B$8+$O43*Rates!$B$9+$P43*Rates!$B$10)</f>
        <v>0</v>
      </c>
      <c r="K43" s="16" t="n">
        <f aca="false">IF($M43=0,0,MAX(0,$C43-($N43+$O43+$P43))*IF($Q43=1,Rates!$C$7,Rates!$C$6)+$N43*Rates!$C$8+$O43*Rates!$C$9+$P43*Rates!$C$10)</f>
        <v>0</v>
      </c>
      <c r="M43" s="3" t="n">
        <f aca="false">IFERROR(MATCH($B43,Rates!$A$27:$A$35,0),0)</f>
        <v>0</v>
      </c>
      <c r="N43" s="3" t="n">
        <f aca="false">IF($M43=0,0,IF(AND(INDEX(Rates!$C$27:$C$35,$M43)=1,$D43&gt;=Rates!$B$22),$D43,0))</f>
        <v>0</v>
      </c>
      <c r="O43" s="3" t="n">
        <f aca="false">IF($M43=0,0,IF(AND(INDEX(Rates!$D$27:$D$35,$M43)=1,$E43&gt;=Rates!$B$22),$E43,0))</f>
        <v>0</v>
      </c>
      <c r="P43" s="3" t="n">
        <f aca="false">IF($M43=0,0,IF(AND(INDEX(Rates!$E$27:$E$35,$M43)=1,$F43&gt;=Rates!$B$22),$F43,0))</f>
        <v>0</v>
      </c>
      <c r="Q43" s="3" t="n">
        <f aca="false">IF($M43=0,0,IF(AND(INDEX(Rates!$B$27:$B$35,$M43)=1,$C43&lt;Rates!$B$23),1,0))</f>
        <v>0</v>
      </c>
    </row>
    <row r="44" customFormat="false" ht="15" hidden="false" customHeight="false" outlineLevel="0" collapsed="false">
      <c r="A44" s="14"/>
      <c r="B44" s="14"/>
      <c r="C44" s="14"/>
      <c r="D44" s="14"/>
      <c r="E44" s="14"/>
      <c r="F44" s="14"/>
      <c r="G44" s="15" t="str">
        <f aca="false">IF($B44="","",IF($M44=0,"✗ unknown species",IF($N44+$O44+$P44&gt;$C44,"✗ allocated more than fish weight",IF($D44+$E44+$F44&gt;$N44+$O44+$P44,"✗ some value-added not applied — 15 lb min per fish / species not eligible — bills as fillet",IF(AND(INDEX(Rates!$B$27:$B$35,$M44)=1,$C44&gt;=Rates!$B$24,$C44&lt;=Rates!$C$24),"~ borderline 10–14 lb — tier may flip at the scale","✓")))))</f>
        <v/>
      </c>
      <c r="H44" s="15" t="str">
        <f aca="false">IF($B44="","",IF($Q44=1,"under-12",""))</f>
        <v/>
      </c>
      <c r="I44" s="15" t="str">
        <f aca="false">IF($M44=0,"",MAX(0,$C44-($N44+$O44+$P44)))</f>
        <v/>
      </c>
      <c r="J44" s="16" t="n">
        <f aca="false">IF($M44=0,0,MAX(0,$C44-($N44+$O44+$P44))*IF($Q44=1,Rates!$B$7,Rates!$B$6)+$N44*Rates!$B$8+$O44*Rates!$B$9+$P44*Rates!$B$10)</f>
        <v>0</v>
      </c>
      <c r="K44" s="16" t="n">
        <f aca="false">IF($M44=0,0,MAX(0,$C44-($N44+$O44+$P44))*IF($Q44=1,Rates!$C$7,Rates!$C$6)+$N44*Rates!$C$8+$O44*Rates!$C$9+$P44*Rates!$C$10)</f>
        <v>0</v>
      </c>
      <c r="M44" s="3" t="n">
        <f aca="false">IFERROR(MATCH($B44,Rates!$A$27:$A$35,0),0)</f>
        <v>0</v>
      </c>
      <c r="N44" s="3" t="n">
        <f aca="false">IF($M44=0,0,IF(AND(INDEX(Rates!$C$27:$C$35,$M44)=1,$D44&gt;=Rates!$B$22),$D44,0))</f>
        <v>0</v>
      </c>
      <c r="O44" s="3" t="n">
        <f aca="false">IF($M44=0,0,IF(AND(INDEX(Rates!$D$27:$D$35,$M44)=1,$E44&gt;=Rates!$B$22),$E44,0))</f>
        <v>0</v>
      </c>
      <c r="P44" s="3" t="n">
        <f aca="false">IF($M44=0,0,IF(AND(INDEX(Rates!$E$27:$E$35,$M44)=1,$F44&gt;=Rates!$B$22),$F44,0))</f>
        <v>0</v>
      </c>
      <c r="Q44" s="3" t="n">
        <f aca="false">IF($M44=0,0,IF(AND(INDEX(Rates!$B$27:$B$35,$M44)=1,$C44&lt;Rates!$B$23),1,0))</f>
        <v>0</v>
      </c>
    </row>
    <row r="45" customFormat="false" ht="15" hidden="false" customHeight="false" outlineLevel="0" collapsed="false">
      <c r="A45" s="14"/>
      <c r="B45" s="14"/>
      <c r="C45" s="14"/>
      <c r="D45" s="14"/>
      <c r="E45" s="14"/>
      <c r="F45" s="14"/>
      <c r="G45" s="15" t="str">
        <f aca="false">IF($B45="","",IF($M45=0,"✗ unknown species",IF($N45+$O45+$P45&gt;$C45,"✗ allocated more than fish weight",IF($D45+$E45+$F45&gt;$N45+$O45+$P45,"✗ some value-added not applied — 15 lb min per fish / species not eligible — bills as fillet",IF(AND(INDEX(Rates!$B$27:$B$35,$M45)=1,$C45&gt;=Rates!$B$24,$C45&lt;=Rates!$C$24),"~ borderline 10–14 lb — tier may flip at the scale","✓")))))</f>
        <v/>
      </c>
      <c r="H45" s="15" t="str">
        <f aca="false">IF($B45="","",IF($Q45=1,"under-12",""))</f>
        <v/>
      </c>
      <c r="I45" s="15" t="str">
        <f aca="false">IF($M45=0,"",MAX(0,$C45-($N45+$O45+$P45)))</f>
        <v/>
      </c>
      <c r="J45" s="16" t="n">
        <f aca="false">IF($M45=0,0,MAX(0,$C45-($N45+$O45+$P45))*IF($Q45=1,Rates!$B$7,Rates!$B$6)+$N45*Rates!$B$8+$O45*Rates!$B$9+$P45*Rates!$B$10)</f>
        <v>0</v>
      </c>
      <c r="K45" s="16" t="n">
        <f aca="false">IF($M45=0,0,MAX(0,$C45-($N45+$O45+$P45))*IF($Q45=1,Rates!$C$7,Rates!$C$6)+$N45*Rates!$C$8+$O45*Rates!$C$9+$P45*Rates!$C$10)</f>
        <v>0</v>
      </c>
      <c r="M45" s="3" t="n">
        <f aca="false">IFERROR(MATCH($B45,Rates!$A$27:$A$35,0),0)</f>
        <v>0</v>
      </c>
      <c r="N45" s="3" t="n">
        <f aca="false">IF($M45=0,0,IF(AND(INDEX(Rates!$C$27:$C$35,$M45)=1,$D45&gt;=Rates!$B$22),$D45,0))</f>
        <v>0</v>
      </c>
      <c r="O45" s="3" t="n">
        <f aca="false">IF($M45=0,0,IF(AND(INDEX(Rates!$D$27:$D$35,$M45)=1,$E45&gt;=Rates!$B$22),$E45,0))</f>
        <v>0</v>
      </c>
      <c r="P45" s="3" t="n">
        <f aca="false">IF($M45=0,0,IF(AND(INDEX(Rates!$E$27:$E$35,$M45)=1,$F45&gt;=Rates!$B$22),$F45,0))</f>
        <v>0</v>
      </c>
      <c r="Q45" s="3" t="n">
        <f aca="false">IF($M45=0,0,IF(AND(INDEX(Rates!$B$27:$B$35,$M45)=1,$C45&lt;Rates!$B$23),1,0))</f>
        <v>0</v>
      </c>
    </row>
    <row r="46" customFormat="false" ht="15" hidden="false" customHeight="false" outlineLevel="0" collapsed="false">
      <c r="A46" s="14"/>
      <c r="B46" s="14"/>
      <c r="C46" s="14"/>
      <c r="D46" s="14"/>
      <c r="E46" s="14"/>
      <c r="F46" s="14"/>
      <c r="G46" s="15" t="str">
        <f aca="false">IF($B46="","",IF($M46=0,"✗ unknown species",IF($N46+$O46+$P46&gt;$C46,"✗ allocated more than fish weight",IF($D46+$E46+$F46&gt;$N46+$O46+$P46,"✗ some value-added not applied — 15 lb min per fish / species not eligible — bills as fillet",IF(AND(INDEX(Rates!$B$27:$B$35,$M46)=1,$C46&gt;=Rates!$B$24,$C46&lt;=Rates!$C$24),"~ borderline 10–14 lb — tier may flip at the scale","✓")))))</f>
        <v/>
      </c>
      <c r="H46" s="15" t="str">
        <f aca="false">IF($B46="","",IF($Q46=1,"under-12",""))</f>
        <v/>
      </c>
      <c r="I46" s="15" t="str">
        <f aca="false">IF($M46=0,"",MAX(0,$C46-($N46+$O46+$P46)))</f>
        <v/>
      </c>
      <c r="J46" s="16" t="n">
        <f aca="false">IF($M46=0,0,MAX(0,$C46-($N46+$O46+$P46))*IF($Q46=1,Rates!$B$7,Rates!$B$6)+$N46*Rates!$B$8+$O46*Rates!$B$9+$P46*Rates!$B$10)</f>
        <v>0</v>
      </c>
      <c r="K46" s="16" t="n">
        <f aca="false">IF($M46=0,0,MAX(0,$C46-($N46+$O46+$P46))*IF($Q46=1,Rates!$C$7,Rates!$C$6)+$N46*Rates!$C$8+$O46*Rates!$C$9+$P46*Rates!$C$10)</f>
        <v>0</v>
      </c>
      <c r="M46" s="3" t="n">
        <f aca="false">IFERROR(MATCH($B46,Rates!$A$27:$A$35,0),0)</f>
        <v>0</v>
      </c>
      <c r="N46" s="3" t="n">
        <f aca="false">IF($M46=0,0,IF(AND(INDEX(Rates!$C$27:$C$35,$M46)=1,$D46&gt;=Rates!$B$22),$D46,0))</f>
        <v>0</v>
      </c>
      <c r="O46" s="3" t="n">
        <f aca="false">IF($M46=0,0,IF(AND(INDEX(Rates!$D$27:$D$35,$M46)=1,$E46&gt;=Rates!$B$22),$E46,0))</f>
        <v>0</v>
      </c>
      <c r="P46" s="3" t="n">
        <f aca="false">IF($M46=0,0,IF(AND(INDEX(Rates!$E$27:$E$35,$M46)=1,$F46&gt;=Rates!$B$22),$F46,0))</f>
        <v>0</v>
      </c>
      <c r="Q46" s="3" t="n">
        <f aca="false">IF($M46=0,0,IF(AND(INDEX(Rates!$B$27:$B$35,$M46)=1,$C46&lt;Rates!$B$23),1,0))</f>
        <v>0</v>
      </c>
    </row>
    <row r="47" customFormat="false" ht="15" hidden="false" customHeight="false" outlineLevel="0" collapsed="false">
      <c r="A47" s="14"/>
      <c r="B47" s="14"/>
      <c r="C47" s="14"/>
      <c r="D47" s="14"/>
      <c r="E47" s="14"/>
      <c r="F47" s="14"/>
      <c r="G47" s="15" t="str">
        <f aca="false">IF($B47="","",IF($M47=0,"✗ unknown species",IF($N47+$O47+$P47&gt;$C47,"✗ allocated more than fish weight",IF($D47+$E47+$F47&gt;$N47+$O47+$P47,"✗ some value-added not applied — 15 lb min per fish / species not eligible — bills as fillet",IF(AND(INDEX(Rates!$B$27:$B$35,$M47)=1,$C47&gt;=Rates!$B$24,$C47&lt;=Rates!$C$24),"~ borderline 10–14 lb — tier may flip at the scale","✓")))))</f>
        <v/>
      </c>
      <c r="H47" s="15" t="str">
        <f aca="false">IF($B47="","",IF($Q47=1,"under-12",""))</f>
        <v/>
      </c>
      <c r="I47" s="15" t="str">
        <f aca="false">IF($M47=0,"",MAX(0,$C47-($N47+$O47+$P47)))</f>
        <v/>
      </c>
      <c r="J47" s="16" t="n">
        <f aca="false">IF($M47=0,0,MAX(0,$C47-($N47+$O47+$P47))*IF($Q47=1,Rates!$B$7,Rates!$B$6)+$N47*Rates!$B$8+$O47*Rates!$B$9+$P47*Rates!$B$10)</f>
        <v>0</v>
      </c>
      <c r="K47" s="16" t="n">
        <f aca="false">IF($M47=0,0,MAX(0,$C47-($N47+$O47+$P47))*IF($Q47=1,Rates!$C$7,Rates!$C$6)+$N47*Rates!$C$8+$O47*Rates!$C$9+$P47*Rates!$C$10)</f>
        <v>0</v>
      </c>
      <c r="M47" s="3" t="n">
        <f aca="false">IFERROR(MATCH($B47,Rates!$A$27:$A$35,0),0)</f>
        <v>0</v>
      </c>
      <c r="N47" s="3" t="n">
        <f aca="false">IF($M47=0,0,IF(AND(INDEX(Rates!$C$27:$C$35,$M47)=1,$D47&gt;=Rates!$B$22),$D47,0))</f>
        <v>0</v>
      </c>
      <c r="O47" s="3" t="n">
        <f aca="false">IF($M47=0,0,IF(AND(INDEX(Rates!$D$27:$D$35,$M47)=1,$E47&gt;=Rates!$B$22),$E47,0))</f>
        <v>0</v>
      </c>
      <c r="P47" s="3" t="n">
        <f aca="false">IF($M47=0,0,IF(AND(INDEX(Rates!$E$27:$E$35,$M47)=1,$F47&gt;=Rates!$B$22),$F47,0))</f>
        <v>0</v>
      </c>
      <c r="Q47" s="3" t="n">
        <f aca="false">IF($M47=0,0,IF(AND(INDEX(Rates!$B$27:$B$35,$M47)=1,$C47&lt;Rates!$B$23),1,0))</f>
        <v>0</v>
      </c>
    </row>
    <row r="48" customFormat="false" ht="15" hidden="false" customHeight="false" outlineLevel="0" collapsed="false">
      <c r="A48" s="14"/>
      <c r="B48" s="14"/>
      <c r="C48" s="14"/>
      <c r="D48" s="14"/>
      <c r="E48" s="14"/>
      <c r="F48" s="14"/>
      <c r="G48" s="15" t="str">
        <f aca="false">IF($B48="","",IF($M48=0,"✗ unknown species",IF($N48+$O48+$P48&gt;$C48,"✗ allocated more than fish weight",IF($D48+$E48+$F48&gt;$N48+$O48+$P48,"✗ some value-added not applied — 15 lb min per fish / species not eligible — bills as fillet",IF(AND(INDEX(Rates!$B$27:$B$35,$M48)=1,$C48&gt;=Rates!$B$24,$C48&lt;=Rates!$C$24),"~ borderline 10–14 lb — tier may flip at the scale","✓")))))</f>
        <v/>
      </c>
      <c r="H48" s="15" t="str">
        <f aca="false">IF($B48="","",IF($Q48=1,"under-12",""))</f>
        <v/>
      </c>
      <c r="I48" s="15" t="str">
        <f aca="false">IF($M48=0,"",MAX(0,$C48-($N48+$O48+$P48)))</f>
        <v/>
      </c>
      <c r="J48" s="16" t="n">
        <f aca="false">IF($M48=0,0,MAX(0,$C48-($N48+$O48+$P48))*IF($Q48=1,Rates!$B$7,Rates!$B$6)+$N48*Rates!$B$8+$O48*Rates!$B$9+$P48*Rates!$B$10)</f>
        <v>0</v>
      </c>
      <c r="K48" s="16" t="n">
        <f aca="false">IF($M48=0,0,MAX(0,$C48-($N48+$O48+$P48))*IF($Q48=1,Rates!$C$7,Rates!$C$6)+$N48*Rates!$C$8+$O48*Rates!$C$9+$P48*Rates!$C$10)</f>
        <v>0</v>
      </c>
      <c r="M48" s="3" t="n">
        <f aca="false">IFERROR(MATCH($B48,Rates!$A$27:$A$35,0),0)</f>
        <v>0</v>
      </c>
      <c r="N48" s="3" t="n">
        <f aca="false">IF($M48=0,0,IF(AND(INDEX(Rates!$C$27:$C$35,$M48)=1,$D48&gt;=Rates!$B$22),$D48,0))</f>
        <v>0</v>
      </c>
      <c r="O48" s="3" t="n">
        <f aca="false">IF($M48=0,0,IF(AND(INDEX(Rates!$D$27:$D$35,$M48)=1,$E48&gt;=Rates!$B$22),$E48,0))</f>
        <v>0</v>
      </c>
      <c r="P48" s="3" t="n">
        <f aca="false">IF($M48=0,0,IF(AND(INDEX(Rates!$E$27:$E$35,$M48)=1,$F48&gt;=Rates!$B$22),$F48,0))</f>
        <v>0</v>
      </c>
      <c r="Q48" s="3" t="n">
        <f aca="false">IF($M48=0,0,IF(AND(INDEX(Rates!$B$27:$B$35,$M48)=1,$C48&lt;Rates!$B$23),1,0))</f>
        <v>0</v>
      </c>
    </row>
    <row r="49" customFormat="false" ht="15" hidden="false" customHeight="false" outlineLevel="0" collapsed="false">
      <c r="A49" s="14"/>
      <c r="B49" s="14"/>
      <c r="C49" s="14"/>
      <c r="D49" s="14"/>
      <c r="E49" s="14"/>
      <c r="F49" s="14"/>
      <c r="G49" s="15" t="str">
        <f aca="false">IF($B49="","",IF($M49=0,"✗ unknown species",IF($N49+$O49+$P49&gt;$C49,"✗ allocated more than fish weight",IF($D49+$E49+$F49&gt;$N49+$O49+$P49,"✗ some value-added not applied — 15 lb min per fish / species not eligible — bills as fillet",IF(AND(INDEX(Rates!$B$27:$B$35,$M49)=1,$C49&gt;=Rates!$B$24,$C49&lt;=Rates!$C$24),"~ borderline 10–14 lb — tier may flip at the scale","✓")))))</f>
        <v/>
      </c>
      <c r="H49" s="15" t="str">
        <f aca="false">IF($B49="","",IF($Q49=1,"under-12",""))</f>
        <v/>
      </c>
      <c r="I49" s="15" t="str">
        <f aca="false">IF($M49=0,"",MAX(0,$C49-($N49+$O49+$P49)))</f>
        <v/>
      </c>
      <c r="J49" s="16" t="n">
        <f aca="false">IF($M49=0,0,MAX(0,$C49-($N49+$O49+$P49))*IF($Q49=1,Rates!$B$7,Rates!$B$6)+$N49*Rates!$B$8+$O49*Rates!$B$9+$P49*Rates!$B$10)</f>
        <v>0</v>
      </c>
      <c r="K49" s="16" t="n">
        <f aca="false">IF($M49=0,0,MAX(0,$C49-($N49+$O49+$P49))*IF($Q49=1,Rates!$C$7,Rates!$C$6)+$N49*Rates!$C$8+$O49*Rates!$C$9+$P49*Rates!$C$10)</f>
        <v>0</v>
      </c>
      <c r="M49" s="3" t="n">
        <f aca="false">IFERROR(MATCH($B49,Rates!$A$27:$A$35,0),0)</f>
        <v>0</v>
      </c>
      <c r="N49" s="3" t="n">
        <f aca="false">IF($M49=0,0,IF(AND(INDEX(Rates!$C$27:$C$35,$M49)=1,$D49&gt;=Rates!$B$22),$D49,0))</f>
        <v>0</v>
      </c>
      <c r="O49" s="3" t="n">
        <f aca="false">IF($M49=0,0,IF(AND(INDEX(Rates!$D$27:$D$35,$M49)=1,$E49&gt;=Rates!$B$22),$E49,0))</f>
        <v>0</v>
      </c>
      <c r="P49" s="3" t="n">
        <f aca="false">IF($M49=0,0,IF(AND(INDEX(Rates!$E$27:$E$35,$M49)=1,$F49&gt;=Rates!$B$22),$F49,0))</f>
        <v>0</v>
      </c>
      <c r="Q49" s="3" t="n">
        <f aca="false">IF($M49=0,0,IF(AND(INDEX(Rates!$B$27:$B$35,$M49)=1,$C49&lt;Rates!$B$23),1,0))</f>
        <v>0</v>
      </c>
    </row>
    <row r="50" customFormat="false" ht="15" hidden="false" customHeight="false" outlineLevel="0" collapsed="false">
      <c r="A50" s="14"/>
      <c r="B50" s="14"/>
      <c r="C50" s="14"/>
      <c r="D50" s="14"/>
      <c r="E50" s="14"/>
      <c r="F50" s="14"/>
      <c r="G50" s="15" t="str">
        <f aca="false">IF($B50="","",IF($M50=0,"✗ unknown species",IF($N50+$O50+$P50&gt;$C50,"✗ allocated more than fish weight",IF($D50+$E50+$F50&gt;$N50+$O50+$P50,"✗ some value-added not applied — 15 lb min per fish / species not eligible — bills as fillet",IF(AND(INDEX(Rates!$B$27:$B$35,$M50)=1,$C50&gt;=Rates!$B$24,$C50&lt;=Rates!$C$24),"~ borderline 10–14 lb — tier may flip at the scale","✓")))))</f>
        <v/>
      </c>
      <c r="H50" s="15" t="str">
        <f aca="false">IF($B50="","",IF($Q50=1,"under-12",""))</f>
        <v/>
      </c>
      <c r="I50" s="15" t="str">
        <f aca="false">IF($M50=0,"",MAX(0,$C50-($N50+$O50+$P50)))</f>
        <v/>
      </c>
      <c r="J50" s="16" t="n">
        <f aca="false">IF($M50=0,0,MAX(0,$C50-($N50+$O50+$P50))*IF($Q50=1,Rates!$B$7,Rates!$B$6)+$N50*Rates!$B$8+$O50*Rates!$B$9+$P50*Rates!$B$10)</f>
        <v>0</v>
      </c>
      <c r="K50" s="16" t="n">
        <f aca="false">IF($M50=0,0,MAX(0,$C50-($N50+$O50+$P50))*IF($Q50=1,Rates!$C$7,Rates!$C$6)+$N50*Rates!$C$8+$O50*Rates!$C$9+$P50*Rates!$C$10)</f>
        <v>0</v>
      </c>
      <c r="M50" s="3" t="n">
        <f aca="false">IFERROR(MATCH($B50,Rates!$A$27:$A$35,0),0)</f>
        <v>0</v>
      </c>
      <c r="N50" s="3" t="n">
        <f aca="false">IF($M50=0,0,IF(AND(INDEX(Rates!$C$27:$C$35,$M50)=1,$D50&gt;=Rates!$B$22),$D50,0))</f>
        <v>0</v>
      </c>
      <c r="O50" s="3" t="n">
        <f aca="false">IF($M50=0,0,IF(AND(INDEX(Rates!$D$27:$D$35,$M50)=1,$E50&gt;=Rates!$B$22),$E50,0))</f>
        <v>0</v>
      </c>
      <c r="P50" s="3" t="n">
        <f aca="false">IF($M50=0,0,IF(AND(INDEX(Rates!$E$27:$E$35,$M50)=1,$F50&gt;=Rates!$B$22),$F50,0))</f>
        <v>0</v>
      </c>
      <c r="Q50" s="3" t="n">
        <f aca="false">IF($M50=0,0,IF(AND(INDEX(Rates!$B$27:$B$35,$M50)=1,$C50&lt;Rates!$B$23),1,0))</f>
        <v>0</v>
      </c>
    </row>
    <row r="51" customFormat="false" ht="15" hidden="false" customHeight="false" outlineLevel="0" collapsed="false">
      <c r="A51" s="14"/>
      <c r="B51" s="14"/>
      <c r="C51" s="14"/>
      <c r="D51" s="14"/>
      <c r="E51" s="14"/>
      <c r="F51" s="14"/>
      <c r="G51" s="15" t="str">
        <f aca="false">IF($B51="","",IF($M51=0,"✗ unknown species",IF($N51+$O51+$P51&gt;$C51,"✗ allocated more than fish weight",IF($D51+$E51+$F51&gt;$N51+$O51+$P51,"✗ some value-added not applied — 15 lb min per fish / species not eligible — bills as fillet",IF(AND(INDEX(Rates!$B$27:$B$35,$M51)=1,$C51&gt;=Rates!$B$24,$C51&lt;=Rates!$C$24),"~ borderline 10–14 lb — tier may flip at the scale","✓")))))</f>
        <v/>
      </c>
      <c r="H51" s="15" t="str">
        <f aca="false">IF($B51="","",IF($Q51=1,"under-12",""))</f>
        <v/>
      </c>
      <c r="I51" s="15" t="str">
        <f aca="false">IF($M51=0,"",MAX(0,$C51-($N51+$O51+$P51)))</f>
        <v/>
      </c>
      <c r="J51" s="16" t="n">
        <f aca="false">IF($M51=0,0,MAX(0,$C51-($N51+$O51+$P51))*IF($Q51=1,Rates!$B$7,Rates!$B$6)+$N51*Rates!$B$8+$O51*Rates!$B$9+$P51*Rates!$B$10)</f>
        <v>0</v>
      </c>
      <c r="K51" s="16" t="n">
        <f aca="false">IF($M51=0,0,MAX(0,$C51-($N51+$O51+$P51))*IF($Q51=1,Rates!$C$7,Rates!$C$6)+$N51*Rates!$C$8+$O51*Rates!$C$9+$P51*Rates!$C$10)</f>
        <v>0</v>
      </c>
      <c r="M51" s="3" t="n">
        <f aca="false">IFERROR(MATCH($B51,Rates!$A$27:$A$35,0),0)</f>
        <v>0</v>
      </c>
      <c r="N51" s="3" t="n">
        <f aca="false">IF($M51=0,0,IF(AND(INDEX(Rates!$C$27:$C$35,$M51)=1,$D51&gt;=Rates!$B$22),$D51,0))</f>
        <v>0</v>
      </c>
      <c r="O51" s="3" t="n">
        <f aca="false">IF($M51=0,0,IF(AND(INDEX(Rates!$D$27:$D$35,$M51)=1,$E51&gt;=Rates!$B$22),$E51,0))</f>
        <v>0</v>
      </c>
      <c r="P51" s="3" t="n">
        <f aca="false">IF($M51=0,0,IF(AND(INDEX(Rates!$E$27:$E$35,$M51)=1,$F51&gt;=Rates!$B$22),$F51,0))</f>
        <v>0</v>
      </c>
      <c r="Q51" s="3" t="n">
        <f aca="false">IF($M51=0,0,IF(AND(INDEX(Rates!$B$27:$B$35,$M51)=1,$C51&lt;Rates!$B$23),1,0))</f>
        <v>0</v>
      </c>
    </row>
    <row r="52" customFormat="false" ht="15" hidden="false" customHeight="false" outlineLevel="0" collapsed="false">
      <c r="A52" s="14"/>
      <c r="B52" s="14"/>
      <c r="C52" s="14"/>
      <c r="D52" s="14"/>
      <c r="E52" s="14"/>
      <c r="F52" s="14"/>
      <c r="G52" s="15" t="str">
        <f aca="false">IF($B52="","",IF($M52=0,"✗ unknown species",IF($N52+$O52+$P52&gt;$C52,"✗ allocated more than fish weight",IF($D52+$E52+$F52&gt;$N52+$O52+$P52,"✗ some value-added not applied — 15 lb min per fish / species not eligible — bills as fillet",IF(AND(INDEX(Rates!$B$27:$B$35,$M52)=1,$C52&gt;=Rates!$B$24,$C52&lt;=Rates!$C$24),"~ borderline 10–14 lb — tier may flip at the scale","✓")))))</f>
        <v/>
      </c>
      <c r="H52" s="15" t="str">
        <f aca="false">IF($B52="","",IF($Q52=1,"under-12",""))</f>
        <v/>
      </c>
      <c r="I52" s="15" t="str">
        <f aca="false">IF($M52=0,"",MAX(0,$C52-($N52+$O52+$P52)))</f>
        <v/>
      </c>
      <c r="J52" s="16" t="n">
        <f aca="false">IF($M52=0,0,MAX(0,$C52-($N52+$O52+$P52))*IF($Q52=1,Rates!$B$7,Rates!$B$6)+$N52*Rates!$B$8+$O52*Rates!$B$9+$P52*Rates!$B$10)</f>
        <v>0</v>
      </c>
      <c r="K52" s="16" t="n">
        <f aca="false">IF($M52=0,0,MAX(0,$C52-($N52+$O52+$P52))*IF($Q52=1,Rates!$C$7,Rates!$C$6)+$N52*Rates!$C$8+$O52*Rates!$C$9+$P52*Rates!$C$10)</f>
        <v>0</v>
      </c>
      <c r="M52" s="3" t="n">
        <f aca="false">IFERROR(MATCH($B52,Rates!$A$27:$A$35,0),0)</f>
        <v>0</v>
      </c>
      <c r="N52" s="3" t="n">
        <f aca="false">IF($M52=0,0,IF(AND(INDEX(Rates!$C$27:$C$35,$M52)=1,$D52&gt;=Rates!$B$22),$D52,0))</f>
        <v>0</v>
      </c>
      <c r="O52" s="3" t="n">
        <f aca="false">IF($M52=0,0,IF(AND(INDEX(Rates!$D$27:$D$35,$M52)=1,$E52&gt;=Rates!$B$22),$E52,0))</f>
        <v>0</v>
      </c>
      <c r="P52" s="3" t="n">
        <f aca="false">IF($M52=0,0,IF(AND(INDEX(Rates!$E$27:$E$35,$M52)=1,$F52&gt;=Rates!$B$22),$F52,0))</f>
        <v>0</v>
      </c>
      <c r="Q52" s="3" t="n">
        <f aca="false">IF($M52=0,0,IF(AND(INDEX(Rates!$B$27:$B$35,$M52)=1,$C52&lt;Rates!$B$23),1,0))</f>
        <v>0</v>
      </c>
    </row>
    <row r="53" customFormat="false" ht="15" hidden="false" customHeight="false" outlineLevel="0" collapsed="false">
      <c r="A53" s="14"/>
      <c r="B53" s="14"/>
      <c r="C53" s="14"/>
      <c r="D53" s="14"/>
      <c r="E53" s="14"/>
      <c r="F53" s="14"/>
      <c r="G53" s="15" t="str">
        <f aca="false">IF($B53="","",IF($M53=0,"✗ unknown species",IF($N53+$O53+$P53&gt;$C53,"✗ allocated more than fish weight",IF($D53+$E53+$F53&gt;$N53+$O53+$P53,"✗ some value-added not applied — 15 lb min per fish / species not eligible — bills as fillet",IF(AND(INDEX(Rates!$B$27:$B$35,$M53)=1,$C53&gt;=Rates!$B$24,$C53&lt;=Rates!$C$24),"~ borderline 10–14 lb — tier may flip at the scale","✓")))))</f>
        <v/>
      </c>
      <c r="H53" s="15" t="str">
        <f aca="false">IF($B53="","",IF($Q53=1,"under-12",""))</f>
        <v/>
      </c>
      <c r="I53" s="15" t="str">
        <f aca="false">IF($M53=0,"",MAX(0,$C53-($N53+$O53+$P53)))</f>
        <v/>
      </c>
      <c r="J53" s="16" t="n">
        <f aca="false">IF($M53=0,0,MAX(0,$C53-($N53+$O53+$P53))*IF($Q53=1,Rates!$B$7,Rates!$B$6)+$N53*Rates!$B$8+$O53*Rates!$B$9+$P53*Rates!$B$10)</f>
        <v>0</v>
      </c>
      <c r="K53" s="16" t="n">
        <f aca="false">IF($M53=0,0,MAX(0,$C53-($N53+$O53+$P53))*IF($Q53=1,Rates!$C$7,Rates!$C$6)+$N53*Rates!$C$8+$O53*Rates!$C$9+$P53*Rates!$C$10)</f>
        <v>0</v>
      </c>
      <c r="M53" s="3" t="n">
        <f aca="false">IFERROR(MATCH($B53,Rates!$A$27:$A$35,0),0)</f>
        <v>0</v>
      </c>
      <c r="N53" s="3" t="n">
        <f aca="false">IF($M53=0,0,IF(AND(INDEX(Rates!$C$27:$C$35,$M53)=1,$D53&gt;=Rates!$B$22),$D53,0))</f>
        <v>0</v>
      </c>
      <c r="O53" s="3" t="n">
        <f aca="false">IF($M53=0,0,IF(AND(INDEX(Rates!$D$27:$D$35,$M53)=1,$E53&gt;=Rates!$B$22),$E53,0))</f>
        <v>0</v>
      </c>
      <c r="P53" s="3" t="n">
        <f aca="false">IF($M53=0,0,IF(AND(INDEX(Rates!$E$27:$E$35,$M53)=1,$F53&gt;=Rates!$B$22),$F53,0))</f>
        <v>0</v>
      </c>
      <c r="Q53" s="3" t="n">
        <f aca="false">IF($M53=0,0,IF(AND(INDEX(Rates!$B$27:$B$35,$M53)=1,$C53&lt;Rates!$B$23),1,0))</f>
        <v>0</v>
      </c>
    </row>
    <row r="54" customFormat="false" ht="15" hidden="false" customHeight="false" outlineLevel="0" collapsed="false">
      <c r="A54" s="14"/>
      <c r="B54" s="14"/>
      <c r="C54" s="14"/>
      <c r="D54" s="14"/>
      <c r="E54" s="14"/>
      <c r="F54" s="14"/>
      <c r="G54" s="15" t="str">
        <f aca="false">IF($B54="","",IF($M54=0,"✗ unknown species",IF($N54+$O54+$P54&gt;$C54,"✗ allocated more than fish weight",IF($D54+$E54+$F54&gt;$N54+$O54+$P54,"✗ some value-added not applied — 15 lb min per fish / species not eligible — bills as fillet",IF(AND(INDEX(Rates!$B$27:$B$35,$M54)=1,$C54&gt;=Rates!$B$24,$C54&lt;=Rates!$C$24),"~ borderline 10–14 lb — tier may flip at the scale","✓")))))</f>
        <v/>
      </c>
      <c r="H54" s="15" t="str">
        <f aca="false">IF($B54="","",IF($Q54=1,"under-12",""))</f>
        <v/>
      </c>
      <c r="I54" s="15" t="str">
        <f aca="false">IF($M54=0,"",MAX(0,$C54-($N54+$O54+$P54)))</f>
        <v/>
      </c>
      <c r="J54" s="16" t="n">
        <f aca="false">IF($M54=0,0,MAX(0,$C54-($N54+$O54+$P54))*IF($Q54=1,Rates!$B$7,Rates!$B$6)+$N54*Rates!$B$8+$O54*Rates!$B$9+$P54*Rates!$B$10)</f>
        <v>0</v>
      </c>
      <c r="K54" s="16" t="n">
        <f aca="false">IF($M54=0,0,MAX(0,$C54-($N54+$O54+$P54))*IF($Q54=1,Rates!$C$7,Rates!$C$6)+$N54*Rates!$C$8+$O54*Rates!$C$9+$P54*Rates!$C$10)</f>
        <v>0</v>
      </c>
      <c r="M54" s="3" t="n">
        <f aca="false">IFERROR(MATCH($B54,Rates!$A$27:$A$35,0),0)</f>
        <v>0</v>
      </c>
      <c r="N54" s="3" t="n">
        <f aca="false">IF($M54=0,0,IF(AND(INDEX(Rates!$C$27:$C$35,$M54)=1,$D54&gt;=Rates!$B$22),$D54,0))</f>
        <v>0</v>
      </c>
      <c r="O54" s="3" t="n">
        <f aca="false">IF($M54=0,0,IF(AND(INDEX(Rates!$D$27:$D$35,$M54)=1,$E54&gt;=Rates!$B$22),$E54,0))</f>
        <v>0</v>
      </c>
      <c r="P54" s="3" t="n">
        <f aca="false">IF($M54=0,0,IF(AND(INDEX(Rates!$E$27:$E$35,$M54)=1,$F54&gt;=Rates!$B$22),$F54,0))</f>
        <v>0</v>
      </c>
      <c r="Q54" s="3" t="n">
        <f aca="false">IF($M54=0,0,IF(AND(INDEX(Rates!$B$27:$B$35,$M54)=1,$C54&lt;Rates!$B$23),1,0))</f>
        <v>0</v>
      </c>
    </row>
    <row r="55" customFormat="false" ht="15" hidden="false" customHeight="false" outlineLevel="0" collapsed="false">
      <c r="A55" s="14"/>
      <c r="B55" s="14"/>
      <c r="C55" s="14"/>
      <c r="D55" s="14"/>
      <c r="E55" s="14"/>
      <c r="F55" s="14"/>
      <c r="G55" s="15" t="str">
        <f aca="false">IF($B55="","",IF($M55=0,"✗ unknown species",IF($N55+$O55+$P55&gt;$C55,"✗ allocated more than fish weight",IF($D55+$E55+$F55&gt;$N55+$O55+$P55,"✗ some value-added not applied — 15 lb min per fish / species not eligible — bills as fillet",IF(AND(INDEX(Rates!$B$27:$B$35,$M55)=1,$C55&gt;=Rates!$B$24,$C55&lt;=Rates!$C$24),"~ borderline 10–14 lb — tier may flip at the scale","✓")))))</f>
        <v/>
      </c>
      <c r="H55" s="15" t="str">
        <f aca="false">IF($B55="","",IF($Q55=1,"under-12",""))</f>
        <v/>
      </c>
      <c r="I55" s="15" t="str">
        <f aca="false">IF($M55=0,"",MAX(0,$C55-($N55+$O55+$P55)))</f>
        <v/>
      </c>
      <c r="J55" s="16" t="n">
        <f aca="false">IF($M55=0,0,MAX(0,$C55-($N55+$O55+$P55))*IF($Q55=1,Rates!$B$7,Rates!$B$6)+$N55*Rates!$B$8+$O55*Rates!$B$9+$P55*Rates!$B$10)</f>
        <v>0</v>
      </c>
      <c r="K55" s="16" t="n">
        <f aca="false">IF($M55=0,0,MAX(0,$C55-($N55+$O55+$P55))*IF($Q55=1,Rates!$C$7,Rates!$C$6)+$N55*Rates!$C$8+$O55*Rates!$C$9+$P55*Rates!$C$10)</f>
        <v>0</v>
      </c>
      <c r="M55" s="3" t="n">
        <f aca="false">IFERROR(MATCH($B55,Rates!$A$27:$A$35,0),0)</f>
        <v>0</v>
      </c>
      <c r="N55" s="3" t="n">
        <f aca="false">IF($M55=0,0,IF(AND(INDEX(Rates!$C$27:$C$35,$M55)=1,$D55&gt;=Rates!$B$22),$D55,0))</f>
        <v>0</v>
      </c>
      <c r="O55" s="3" t="n">
        <f aca="false">IF($M55=0,0,IF(AND(INDEX(Rates!$D$27:$D$35,$M55)=1,$E55&gt;=Rates!$B$22),$E55,0))</f>
        <v>0</v>
      </c>
      <c r="P55" s="3" t="n">
        <f aca="false">IF($M55=0,0,IF(AND(INDEX(Rates!$E$27:$E$35,$M55)=1,$F55&gt;=Rates!$B$22),$F55,0))</f>
        <v>0</v>
      </c>
      <c r="Q55" s="3" t="n">
        <f aca="false">IF($M55=0,0,IF(AND(INDEX(Rates!$B$27:$B$35,$M55)=1,$C55&lt;Rates!$B$23),1,0))</f>
        <v>0</v>
      </c>
    </row>
    <row r="56" customFormat="false" ht="15" hidden="false" customHeight="false" outlineLevel="0" collapsed="false">
      <c r="A56" s="14"/>
      <c r="B56" s="14"/>
      <c r="C56" s="14"/>
      <c r="D56" s="14"/>
      <c r="E56" s="14"/>
      <c r="F56" s="14"/>
      <c r="G56" s="15" t="str">
        <f aca="false">IF($B56="","",IF($M56=0,"✗ unknown species",IF($N56+$O56+$P56&gt;$C56,"✗ allocated more than fish weight",IF($D56+$E56+$F56&gt;$N56+$O56+$P56,"✗ some value-added not applied — 15 lb min per fish / species not eligible — bills as fillet",IF(AND(INDEX(Rates!$B$27:$B$35,$M56)=1,$C56&gt;=Rates!$B$24,$C56&lt;=Rates!$C$24),"~ borderline 10–14 lb — tier may flip at the scale","✓")))))</f>
        <v/>
      </c>
      <c r="H56" s="15" t="str">
        <f aca="false">IF($B56="","",IF($Q56=1,"under-12",""))</f>
        <v/>
      </c>
      <c r="I56" s="15" t="str">
        <f aca="false">IF($M56=0,"",MAX(0,$C56-($N56+$O56+$P56)))</f>
        <v/>
      </c>
      <c r="J56" s="16" t="n">
        <f aca="false">IF($M56=0,0,MAX(0,$C56-($N56+$O56+$P56))*IF($Q56=1,Rates!$B$7,Rates!$B$6)+$N56*Rates!$B$8+$O56*Rates!$B$9+$P56*Rates!$B$10)</f>
        <v>0</v>
      </c>
      <c r="K56" s="16" t="n">
        <f aca="false">IF($M56=0,0,MAX(0,$C56-($N56+$O56+$P56))*IF($Q56=1,Rates!$C$7,Rates!$C$6)+$N56*Rates!$C$8+$O56*Rates!$C$9+$P56*Rates!$C$10)</f>
        <v>0</v>
      </c>
      <c r="M56" s="3" t="n">
        <f aca="false">IFERROR(MATCH($B56,Rates!$A$27:$A$35,0),0)</f>
        <v>0</v>
      </c>
      <c r="N56" s="3" t="n">
        <f aca="false">IF($M56=0,0,IF(AND(INDEX(Rates!$C$27:$C$35,$M56)=1,$D56&gt;=Rates!$B$22),$D56,0))</f>
        <v>0</v>
      </c>
      <c r="O56" s="3" t="n">
        <f aca="false">IF($M56=0,0,IF(AND(INDEX(Rates!$D$27:$D$35,$M56)=1,$E56&gt;=Rates!$B$22),$E56,0))</f>
        <v>0</v>
      </c>
      <c r="P56" s="3" t="n">
        <f aca="false">IF($M56=0,0,IF(AND(INDEX(Rates!$E$27:$E$35,$M56)=1,$F56&gt;=Rates!$B$22),$F56,0))</f>
        <v>0</v>
      </c>
      <c r="Q56" s="3" t="n">
        <f aca="false">IF($M56=0,0,IF(AND(INDEX(Rates!$B$27:$B$35,$M56)=1,$C56&lt;Rates!$B$23),1,0))</f>
        <v>0</v>
      </c>
    </row>
    <row r="57" customFormat="false" ht="15" hidden="false" customHeight="false" outlineLevel="0" collapsed="false">
      <c r="A57" s="14"/>
      <c r="B57" s="14"/>
      <c r="C57" s="14"/>
      <c r="D57" s="14"/>
      <c r="E57" s="14"/>
      <c r="F57" s="14"/>
      <c r="G57" s="15" t="str">
        <f aca="false">IF($B57="","",IF($M57=0,"✗ unknown species",IF($N57+$O57+$P57&gt;$C57,"✗ allocated more than fish weight",IF($D57+$E57+$F57&gt;$N57+$O57+$P57,"✗ some value-added not applied — 15 lb min per fish / species not eligible — bills as fillet",IF(AND(INDEX(Rates!$B$27:$B$35,$M57)=1,$C57&gt;=Rates!$B$24,$C57&lt;=Rates!$C$24),"~ borderline 10–14 lb — tier may flip at the scale","✓")))))</f>
        <v/>
      </c>
      <c r="H57" s="15" t="str">
        <f aca="false">IF($B57="","",IF($Q57=1,"under-12",""))</f>
        <v/>
      </c>
      <c r="I57" s="15" t="str">
        <f aca="false">IF($M57=0,"",MAX(0,$C57-($N57+$O57+$P57)))</f>
        <v/>
      </c>
      <c r="J57" s="16" t="n">
        <f aca="false">IF($M57=0,0,MAX(0,$C57-($N57+$O57+$P57))*IF($Q57=1,Rates!$B$7,Rates!$B$6)+$N57*Rates!$B$8+$O57*Rates!$B$9+$P57*Rates!$B$10)</f>
        <v>0</v>
      </c>
      <c r="K57" s="16" t="n">
        <f aca="false">IF($M57=0,0,MAX(0,$C57-($N57+$O57+$P57))*IF($Q57=1,Rates!$C$7,Rates!$C$6)+$N57*Rates!$C$8+$O57*Rates!$C$9+$P57*Rates!$C$10)</f>
        <v>0</v>
      </c>
      <c r="M57" s="3" t="n">
        <f aca="false">IFERROR(MATCH($B57,Rates!$A$27:$A$35,0),0)</f>
        <v>0</v>
      </c>
      <c r="N57" s="3" t="n">
        <f aca="false">IF($M57=0,0,IF(AND(INDEX(Rates!$C$27:$C$35,$M57)=1,$D57&gt;=Rates!$B$22),$D57,0))</f>
        <v>0</v>
      </c>
      <c r="O57" s="3" t="n">
        <f aca="false">IF($M57=0,0,IF(AND(INDEX(Rates!$D$27:$D$35,$M57)=1,$E57&gt;=Rates!$B$22),$E57,0))</f>
        <v>0</v>
      </c>
      <c r="P57" s="3" t="n">
        <f aca="false">IF($M57=0,0,IF(AND(INDEX(Rates!$E$27:$E$35,$M57)=1,$F57&gt;=Rates!$B$22),$F57,0))</f>
        <v>0</v>
      </c>
      <c r="Q57" s="3" t="n">
        <f aca="false">IF($M57=0,0,IF(AND(INDEX(Rates!$B$27:$B$35,$M57)=1,$C57&lt;Rates!$B$23),1,0))</f>
        <v>0</v>
      </c>
    </row>
    <row r="58" customFormat="false" ht="15" hidden="false" customHeight="false" outlineLevel="0" collapsed="false">
      <c r="A58" s="14"/>
      <c r="B58" s="14"/>
      <c r="C58" s="14"/>
      <c r="D58" s="14"/>
      <c r="E58" s="14"/>
      <c r="F58" s="14"/>
      <c r="G58" s="15" t="str">
        <f aca="false">IF($B58="","",IF($M58=0,"✗ unknown species",IF($N58+$O58+$P58&gt;$C58,"✗ allocated more than fish weight",IF($D58+$E58+$F58&gt;$N58+$O58+$P58,"✗ some value-added not applied — 15 lb min per fish / species not eligible — bills as fillet",IF(AND(INDEX(Rates!$B$27:$B$35,$M58)=1,$C58&gt;=Rates!$B$24,$C58&lt;=Rates!$C$24),"~ borderline 10–14 lb — tier may flip at the scale","✓")))))</f>
        <v/>
      </c>
      <c r="H58" s="15" t="str">
        <f aca="false">IF($B58="","",IF($Q58=1,"under-12",""))</f>
        <v/>
      </c>
      <c r="I58" s="15" t="str">
        <f aca="false">IF($M58=0,"",MAX(0,$C58-($N58+$O58+$P58)))</f>
        <v/>
      </c>
      <c r="J58" s="16" t="n">
        <f aca="false">IF($M58=0,0,MAX(0,$C58-($N58+$O58+$P58))*IF($Q58=1,Rates!$B$7,Rates!$B$6)+$N58*Rates!$B$8+$O58*Rates!$B$9+$P58*Rates!$B$10)</f>
        <v>0</v>
      </c>
      <c r="K58" s="16" t="n">
        <f aca="false">IF($M58=0,0,MAX(0,$C58-($N58+$O58+$P58))*IF($Q58=1,Rates!$C$7,Rates!$C$6)+$N58*Rates!$C$8+$O58*Rates!$C$9+$P58*Rates!$C$10)</f>
        <v>0</v>
      </c>
      <c r="M58" s="3" t="n">
        <f aca="false">IFERROR(MATCH($B58,Rates!$A$27:$A$35,0),0)</f>
        <v>0</v>
      </c>
      <c r="N58" s="3" t="n">
        <f aca="false">IF($M58=0,0,IF(AND(INDEX(Rates!$C$27:$C$35,$M58)=1,$D58&gt;=Rates!$B$22),$D58,0))</f>
        <v>0</v>
      </c>
      <c r="O58" s="3" t="n">
        <f aca="false">IF($M58=0,0,IF(AND(INDEX(Rates!$D$27:$D$35,$M58)=1,$E58&gt;=Rates!$B$22),$E58,0))</f>
        <v>0</v>
      </c>
      <c r="P58" s="3" t="n">
        <f aca="false">IF($M58=0,0,IF(AND(INDEX(Rates!$E$27:$E$35,$M58)=1,$F58&gt;=Rates!$B$22),$F58,0))</f>
        <v>0</v>
      </c>
      <c r="Q58" s="3" t="n">
        <f aca="false">IF($M58=0,0,IF(AND(INDEX(Rates!$B$27:$B$35,$M58)=1,$C58&lt;Rates!$B$23),1,0))</f>
        <v>0</v>
      </c>
    </row>
    <row r="59" customFormat="false" ht="15" hidden="false" customHeight="false" outlineLevel="0" collapsed="false">
      <c r="A59" s="14"/>
      <c r="B59" s="14"/>
      <c r="C59" s="14"/>
      <c r="D59" s="14"/>
      <c r="E59" s="14"/>
      <c r="F59" s="14"/>
      <c r="G59" s="15" t="str">
        <f aca="false">IF($B59="","",IF($M59=0,"✗ unknown species",IF($N59+$O59+$P59&gt;$C59,"✗ allocated more than fish weight",IF($D59+$E59+$F59&gt;$N59+$O59+$P59,"✗ some value-added not applied — 15 lb min per fish / species not eligible — bills as fillet",IF(AND(INDEX(Rates!$B$27:$B$35,$M59)=1,$C59&gt;=Rates!$B$24,$C59&lt;=Rates!$C$24),"~ borderline 10–14 lb — tier may flip at the scale","✓")))))</f>
        <v/>
      </c>
      <c r="H59" s="15" t="str">
        <f aca="false">IF($B59="","",IF($Q59=1,"under-12",""))</f>
        <v/>
      </c>
      <c r="I59" s="15" t="str">
        <f aca="false">IF($M59=0,"",MAX(0,$C59-($N59+$O59+$P59)))</f>
        <v/>
      </c>
      <c r="J59" s="16" t="n">
        <f aca="false">IF($M59=0,0,MAX(0,$C59-($N59+$O59+$P59))*IF($Q59=1,Rates!$B$7,Rates!$B$6)+$N59*Rates!$B$8+$O59*Rates!$B$9+$P59*Rates!$B$10)</f>
        <v>0</v>
      </c>
      <c r="K59" s="16" t="n">
        <f aca="false">IF($M59=0,0,MAX(0,$C59-($N59+$O59+$P59))*IF($Q59=1,Rates!$C$7,Rates!$C$6)+$N59*Rates!$C$8+$O59*Rates!$C$9+$P59*Rates!$C$10)</f>
        <v>0</v>
      </c>
      <c r="M59" s="3" t="n">
        <f aca="false">IFERROR(MATCH($B59,Rates!$A$27:$A$35,0),0)</f>
        <v>0</v>
      </c>
      <c r="N59" s="3" t="n">
        <f aca="false">IF($M59=0,0,IF(AND(INDEX(Rates!$C$27:$C$35,$M59)=1,$D59&gt;=Rates!$B$22),$D59,0))</f>
        <v>0</v>
      </c>
      <c r="O59" s="3" t="n">
        <f aca="false">IF($M59=0,0,IF(AND(INDEX(Rates!$D$27:$D$35,$M59)=1,$E59&gt;=Rates!$B$22),$E59,0))</f>
        <v>0</v>
      </c>
      <c r="P59" s="3" t="n">
        <f aca="false">IF($M59=0,0,IF(AND(INDEX(Rates!$E$27:$E$35,$M59)=1,$F59&gt;=Rates!$B$22),$F59,0))</f>
        <v>0</v>
      </c>
      <c r="Q59" s="3" t="n">
        <f aca="false">IF($M59=0,0,IF(AND(INDEX(Rates!$B$27:$B$35,$M59)=1,$C59&lt;Rates!$B$23),1,0))</f>
        <v>0</v>
      </c>
    </row>
    <row r="60" customFormat="false" ht="15" hidden="false" customHeight="false" outlineLevel="0" collapsed="false">
      <c r="A60" s="14"/>
      <c r="B60" s="14"/>
      <c r="C60" s="14"/>
      <c r="D60" s="14"/>
      <c r="E60" s="14"/>
      <c r="F60" s="14"/>
      <c r="G60" s="15" t="str">
        <f aca="false">IF($B60="","",IF($M60=0,"✗ unknown species",IF($N60+$O60+$P60&gt;$C60,"✗ allocated more than fish weight",IF($D60+$E60+$F60&gt;$N60+$O60+$P60,"✗ some value-added not applied — 15 lb min per fish / species not eligible — bills as fillet",IF(AND(INDEX(Rates!$B$27:$B$35,$M60)=1,$C60&gt;=Rates!$B$24,$C60&lt;=Rates!$C$24),"~ borderline 10–14 lb — tier may flip at the scale","✓")))))</f>
        <v/>
      </c>
      <c r="H60" s="15" t="str">
        <f aca="false">IF($B60="","",IF($Q60=1,"under-12",""))</f>
        <v/>
      </c>
      <c r="I60" s="15" t="str">
        <f aca="false">IF($M60=0,"",MAX(0,$C60-($N60+$O60+$P60)))</f>
        <v/>
      </c>
      <c r="J60" s="16" t="n">
        <f aca="false">IF($M60=0,0,MAX(0,$C60-($N60+$O60+$P60))*IF($Q60=1,Rates!$B$7,Rates!$B$6)+$N60*Rates!$B$8+$O60*Rates!$B$9+$P60*Rates!$B$10)</f>
        <v>0</v>
      </c>
      <c r="K60" s="16" t="n">
        <f aca="false">IF($M60=0,0,MAX(0,$C60-($N60+$O60+$P60))*IF($Q60=1,Rates!$C$7,Rates!$C$6)+$N60*Rates!$C$8+$O60*Rates!$C$9+$P60*Rates!$C$10)</f>
        <v>0</v>
      </c>
      <c r="M60" s="3" t="n">
        <f aca="false">IFERROR(MATCH($B60,Rates!$A$27:$A$35,0),0)</f>
        <v>0</v>
      </c>
      <c r="N60" s="3" t="n">
        <f aca="false">IF($M60=0,0,IF(AND(INDEX(Rates!$C$27:$C$35,$M60)=1,$D60&gt;=Rates!$B$22),$D60,0))</f>
        <v>0</v>
      </c>
      <c r="O60" s="3" t="n">
        <f aca="false">IF($M60=0,0,IF(AND(INDEX(Rates!$D$27:$D$35,$M60)=1,$E60&gt;=Rates!$B$22),$E60,0))</f>
        <v>0</v>
      </c>
      <c r="P60" s="3" t="n">
        <f aca="false">IF($M60=0,0,IF(AND(INDEX(Rates!$E$27:$E$35,$M60)=1,$F60&gt;=Rates!$B$22),$F60,0))</f>
        <v>0</v>
      </c>
      <c r="Q60" s="3" t="n">
        <f aca="false">IF($M60=0,0,IF(AND(INDEX(Rates!$B$27:$B$35,$M60)=1,$C60&lt;Rates!$B$23),1,0))</f>
        <v>0</v>
      </c>
    </row>
    <row r="61" customFormat="false" ht="15" hidden="false" customHeight="false" outlineLevel="0" collapsed="false">
      <c r="A61" s="14"/>
      <c r="B61" s="14"/>
      <c r="C61" s="14"/>
      <c r="D61" s="14"/>
      <c r="E61" s="14"/>
      <c r="F61" s="14"/>
      <c r="G61" s="15" t="str">
        <f aca="false">IF($B61="","",IF($M61=0,"✗ unknown species",IF($N61+$O61+$P61&gt;$C61,"✗ allocated more than fish weight",IF($D61+$E61+$F61&gt;$N61+$O61+$P61,"✗ some value-added not applied — 15 lb min per fish / species not eligible — bills as fillet",IF(AND(INDEX(Rates!$B$27:$B$35,$M61)=1,$C61&gt;=Rates!$B$24,$C61&lt;=Rates!$C$24),"~ borderline 10–14 lb — tier may flip at the scale","✓")))))</f>
        <v/>
      </c>
      <c r="H61" s="15" t="str">
        <f aca="false">IF($B61="","",IF($Q61=1,"under-12",""))</f>
        <v/>
      </c>
      <c r="I61" s="15" t="str">
        <f aca="false">IF($M61=0,"",MAX(0,$C61-($N61+$O61+$P61)))</f>
        <v/>
      </c>
      <c r="J61" s="16" t="n">
        <f aca="false">IF($M61=0,0,MAX(0,$C61-($N61+$O61+$P61))*IF($Q61=1,Rates!$B$7,Rates!$B$6)+$N61*Rates!$B$8+$O61*Rates!$B$9+$P61*Rates!$B$10)</f>
        <v>0</v>
      </c>
      <c r="K61" s="16" t="n">
        <f aca="false">IF($M61=0,0,MAX(0,$C61-($N61+$O61+$P61))*IF($Q61=1,Rates!$C$7,Rates!$C$6)+$N61*Rates!$C$8+$O61*Rates!$C$9+$P61*Rates!$C$10)</f>
        <v>0</v>
      </c>
      <c r="M61" s="3" t="n">
        <f aca="false">IFERROR(MATCH($B61,Rates!$A$27:$A$35,0),0)</f>
        <v>0</v>
      </c>
      <c r="N61" s="3" t="n">
        <f aca="false">IF($M61=0,0,IF(AND(INDEX(Rates!$C$27:$C$35,$M61)=1,$D61&gt;=Rates!$B$22),$D61,0))</f>
        <v>0</v>
      </c>
      <c r="O61" s="3" t="n">
        <f aca="false">IF($M61=0,0,IF(AND(INDEX(Rates!$D$27:$D$35,$M61)=1,$E61&gt;=Rates!$B$22),$E61,0))</f>
        <v>0</v>
      </c>
      <c r="P61" s="3" t="n">
        <f aca="false">IF($M61=0,0,IF(AND(INDEX(Rates!$E$27:$E$35,$M61)=1,$F61&gt;=Rates!$B$22),$F61,0))</f>
        <v>0</v>
      </c>
      <c r="Q61" s="3" t="n">
        <f aca="false">IF($M61=0,0,IF(AND(INDEX(Rates!$B$27:$B$35,$M61)=1,$C61&lt;Rates!$B$23),1,0))</f>
        <v>0</v>
      </c>
    </row>
    <row r="62" customFormat="false" ht="15" hidden="false" customHeight="false" outlineLevel="0" collapsed="false">
      <c r="A62" s="14"/>
      <c r="B62" s="14"/>
      <c r="C62" s="14"/>
      <c r="D62" s="14"/>
      <c r="E62" s="14"/>
      <c r="F62" s="14"/>
      <c r="G62" s="15" t="str">
        <f aca="false">IF($B62="","",IF($M62=0,"✗ unknown species",IF($N62+$O62+$P62&gt;$C62,"✗ allocated more than fish weight",IF($D62+$E62+$F62&gt;$N62+$O62+$P62,"✗ some value-added not applied — 15 lb min per fish / species not eligible — bills as fillet",IF(AND(INDEX(Rates!$B$27:$B$35,$M62)=1,$C62&gt;=Rates!$B$24,$C62&lt;=Rates!$C$24),"~ borderline 10–14 lb — tier may flip at the scale","✓")))))</f>
        <v/>
      </c>
      <c r="H62" s="15" t="str">
        <f aca="false">IF($B62="","",IF($Q62=1,"under-12",""))</f>
        <v/>
      </c>
      <c r="I62" s="15" t="str">
        <f aca="false">IF($M62=0,"",MAX(0,$C62-($N62+$O62+$P62)))</f>
        <v/>
      </c>
      <c r="J62" s="16" t="n">
        <f aca="false">IF($M62=0,0,MAX(0,$C62-($N62+$O62+$P62))*IF($Q62=1,Rates!$B$7,Rates!$B$6)+$N62*Rates!$B$8+$O62*Rates!$B$9+$P62*Rates!$B$10)</f>
        <v>0</v>
      </c>
      <c r="K62" s="16" t="n">
        <f aca="false">IF($M62=0,0,MAX(0,$C62-($N62+$O62+$P62))*IF($Q62=1,Rates!$C$7,Rates!$C$6)+$N62*Rates!$C$8+$O62*Rates!$C$9+$P62*Rates!$C$10)</f>
        <v>0</v>
      </c>
      <c r="M62" s="3" t="n">
        <f aca="false">IFERROR(MATCH($B62,Rates!$A$27:$A$35,0),0)</f>
        <v>0</v>
      </c>
      <c r="N62" s="3" t="n">
        <f aca="false">IF($M62=0,0,IF(AND(INDEX(Rates!$C$27:$C$35,$M62)=1,$D62&gt;=Rates!$B$22),$D62,0))</f>
        <v>0</v>
      </c>
      <c r="O62" s="3" t="n">
        <f aca="false">IF($M62=0,0,IF(AND(INDEX(Rates!$D$27:$D$35,$M62)=1,$E62&gt;=Rates!$B$22),$E62,0))</f>
        <v>0</v>
      </c>
      <c r="P62" s="3" t="n">
        <f aca="false">IF($M62=0,0,IF(AND(INDEX(Rates!$E$27:$E$35,$M62)=1,$F62&gt;=Rates!$B$22),$F62,0))</f>
        <v>0</v>
      </c>
      <c r="Q62" s="3" t="n">
        <f aca="false">IF($M62=0,0,IF(AND(INDEX(Rates!$B$27:$B$35,$M62)=1,$C62&lt;Rates!$B$23),1,0))</f>
        <v>0</v>
      </c>
    </row>
    <row r="63" customFormat="false" ht="15" hidden="false" customHeight="false" outlineLevel="0" collapsed="false">
      <c r="A63" s="14"/>
      <c r="B63" s="14"/>
      <c r="C63" s="14"/>
      <c r="D63" s="14"/>
      <c r="E63" s="14"/>
      <c r="F63" s="14"/>
      <c r="G63" s="15" t="str">
        <f aca="false">IF($B63="","",IF($M63=0,"✗ unknown species",IF($N63+$O63+$P63&gt;$C63,"✗ allocated more than fish weight",IF($D63+$E63+$F63&gt;$N63+$O63+$P63,"✗ some value-added not applied — 15 lb min per fish / species not eligible — bills as fillet",IF(AND(INDEX(Rates!$B$27:$B$35,$M63)=1,$C63&gt;=Rates!$B$24,$C63&lt;=Rates!$C$24),"~ borderline 10–14 lb — tier may flip at the scale","✓")))))</f>
        <v/>
      </c>
      <c r="H63" s="15" t="str">
        <f aca="false">IF($B63="","",IF($Q63=1,"under-12",""))</f>
        <v/>
      </c>
      <c r="I63" s="15" t="str">
        <f aca="false">IF($M63=0,"",MAX(0,$C63-($N63+$O63+$P63)))</f>
        <v/>
      </c>
      <c r="J63" s="16" t="n">
        <f aca="false">IF($M63=0,0,MAX(0,$C63-($N63+$O63+$P63))*IF($Q63=1,Rates!$B$7,Rates!$B$6)+$N63*Rates!$B$8+$O63*Rates!$B$9+$P63*Rates!$B$10)</f>
        <v>0</v>
      </c>
      <c r="K63" s="16" t="n">
        <f aca="false">IF($M63=0,0,MAX(0,$C63-($N63+$O63+$P63))*IF($Q63=1,Rates!$C$7,Rates!$C$6)+$N63*Rates!$C$8+$O63*Rates!$C$9+$P63*Rates!$C$10)</f>
        <v>0</v>
      </c>
      <c r="M63" s="3" t="n">
        <f aca="false">IFERROR(MATCH($B63,Rates!$A$27:$A$35,0),0)</f>
        <v>0</v>
      </c>
      <c r="N63" s="3" t="n">
        <f aca="false">IF($M63=0,0,IF(AND(INDEX(Rates!$C$27:$C$35,$M63)=1,$D63&gt;=Rates!$B$22),$D63,0))</f>
        <v>0</v>
      </c>
      <c r="O63" s="3" t="n">
        <f aca="false">IF($M63=0,0,IF(AND(INDEX(Rates!$D$27:$D$35,$M63)=1,$E63&gt;=Rates!$B$22),$E63,0))</f>
        <v>0</v>
      </c>
      <c r="P63" s="3" t="n">
        <f aca="false">IF($M63=0,0,IF(AND(INDEX(Rates!$E$27:$E$35,$M63)=1,$F63&gt;=Rates!$B$22),$F63,0))</f>
        <v>0</v>
      </c>
      <c r="Q63" s="3" t="n">
        <f aca="false">IF($M63=0,0,IF(AND(INDEX(Rates!$B$27:$B$35,$M63)=1,$C63&lt;Rates!$B$23),1,0))</f>
        <v>0</v>
      </c>
    </row>
    <row r="64" customFormat="false" ht="15" hidden="false" customHeight="false" outlineLevel="0" collapsed="false">
      <c r="A64" s="14"/>
      <c r="B64" s="14"/>
      <c r="C64" s="14"/>
      <c r="D64" s="14"/>
      <c r="E64" s="14"/>
      <c r="F64" s="14"/>
      <c r="G64" s="15" t="str">
        <f aca="false">IF($B64="","",IF($M64=0,"✗ unknown species",IF($N64+$O64+$P64&gt;$C64,"✗ allocated more than fish weight",IF($D64+$E64+$F64&gt;$N64+$O64+$P64,"✗ some value-added not applied — 15 lb min per fish / species not eligible — bills as fillet",IF(AND(INDEX(Rates!$B$27:$B$35,$M64)=1,$C64&gt;=Rates!$B$24,$C64&lt;=Rates!$C$24),"~ borderline 10–14 lb — tier may flip at the scale","✓")))))</f>
        <v/>
      </c>
      <c r="H64" s="15" t="str">
        <f aca="false">IF($B64="","",IF($Q64=1,"under-12",""))</f>
        <v/>
      </c>
      <c r="I64" s="15" t="str">
        <f aca="false">IF($M64=0,"",MAX(0,$C64-($N64+$O64+$P64)))</f>
        <v/>
      </c>
      <c r="J64" s="16" t="n">
        <f aca="false">IF($M64=0,0,MAX(0,$C64-($N64+$O64+$P64))*IF($Q64=1,Rates!$B$7,Rates!$B$6)+$N64*Rates!$B$8+$O64*Rates!$B$9+$P64*Rates!$B$10)</f>
        <v>0</v>
      </c>
      <c r="K64" s="16" t="n">
        <f aca="false">IF($M64=0,0,MAX(0,$C64-($N64+$O64+$P64))*IF($Q64=1,Rates!$C$7,Rates!$C$6)+$N64*Rates!$C$8+$O64*Rates!$C$9+$P64*Rates!$C$10)</f>
        <v>0</v>
      </c>
      <c r="M64" s="3" t="n">
        <f aca="false">IFERROR(MATCH($B64,Rates!$A$27:$A$35,0),0)</f>
        <v>0</v>
      </c>
      <c r="N64" s="3" t="n">
        <f aca="false">IF($M64=0,0,IF(AND(INDEX(Rates!$C$27:$C$35,$M64)=1,$D64&gt;=Rates!$B$22),$D64,0))</f>
        <v>0</v>
      </c>
      <c r="O64" s="3" t="n">
        <f aca="false">IF($M64=0,0,IF(AND(INDEX(Rates!$D$27:$D$35,$M64)=1,$E64&gt;=Rates!$B$22),$E64,0))</f>
        <v>0</v>
      </c>
      <c r="P64" s="3" t="n">
        <f aca="false">IF($M64=0,0,IF(AND(INDEX(Rates!$E$27:$E$35,$M64)=1,$F64&gt;=Rates!$B$22),$F64,0))</f>
        <v>0</v>
      </c>
      <c r="Q64" s="3" t="n">
        <f aca="false">IF($M64=0,0,IF(AND(INDEX(Rates!$B$27:$B$35,$M64)=1,$C64&lt;Rates!$B$23),1,0))</f>
        <v>0</v>
      </c>
    </row>
    <row r="65" customFormat="false" ht="15" hidden="false" customHeight="false" outlineLevel="0" collapsed="false">
      <c r="A65" s="14"/>
      <c r="B65" s="14"/>
      <c r="C65" s="14"/>
      <c r="D65" s="14"/>
      <c r="E65" s="14"/>
      <c r="F65" s="14"/>
      <c r="G65" s="15" t="str">
        <f aca="false">IF($B65="","",IF($M65=0,"✗ unknown species",IF($N65+$O65+$P65&gt;$C65,"✗ allocated more than fish weight",IF($D65+$E65+$F65&gt;$N65+$O65+$P65,"✗ some value-added not applied — 15 lb min per fish / species not eligible — bills as fillet",IF(AND(INDEX(Rates!$B$27:$B$35,$M65)=1,$C65&gt;=Rates!$B$24,$C65&lt;=Rates!$C$24),"~ borderline 10–14 lb — tier may flip at the scale","✓")))))</f>
        <v/>
      </c>
      <c r="H65" s="15" t="str">
        <f aca="false">IF($B65="","",IF($Q65=1,"under-12",""))</f>
        <v/>
      </c>
      <c r="I65" s="15" t="str">
        <f aca="false">IF($M65=0,"",MAX(0,$C65-($N65+$O65+$P65)))</f>
        <v/>
      </c>
      <c r="J65" s="16" t="n">
        <f aca="false">IF($M65=0,0,MAX(0,$C65-($N65+$O65+$P65))*IF($Q65=1,Rates!$B$7,Rates!$B$6)+$N65*Rates!$B$8+$O65*Rates!$B$9+$P65*Rates!$B$10)</f>
        <v>0</v>
      </c>
      <c r="K65" s="16" t="n">
        <f aca="false">IF($M65=0,0,MAX(0,$C65-($N65+$O65+$P65))*IF($Q65=1,Rates!$C$7,Rates!$C$6)+$N65*Rates!$C$8+$O65*Rates!$C$9+$P65*Rates!$C$10)</f>
        <v>0</v>
      </c>
      <c r="M65" s="3" t="n">
        <f aca="false">IFERROR(MATCH($B65,Rates!$A$27:$A$35,0),0)</f>
        <v>0</v>
      </c>
      <c r="N65" s="3" t="n">
        <f aca="false">IF($M65=0,0,IF(AND(INDEX(Rates!$C$27:$C$35,$M65)=1,$D65&gt;=Rates!$B$22),$D65,0))</f>
        <v>0</v>
      </c>
      <c r="O65" s="3" t="n">
        <f aca="false">IF($M65=0,0,IF(AND(INDEX(Rates!$D$27:$D$35,$M65)=1,$E65&gt;=Rates!$B$22),$E65,0))</f>
        <v>0</v>
      </c>
      <c r="P65" s="3" t="n">
        <f aca="false">IF($M65=0,0,IF(AND(INDEX(Rates!$E$27:$E$35,$M65)=1,$F65&gt;=Rates!$B$22),$F65,0))</f>
        <v>0</v>
      </c>
      <c r="Q65" s="3" t="n">
        <f aca="false">IF($M65=0,0,IF(AND(INDEX(Rates!$B$27:$B$35,$M65)=1,$C65&lt;Rates!$B$23),1,0))</f>
        <v>0</v>
      </c>
    </row>
    <row r="66" customFormat="false" ht="15" hidden="false" customHeight="false" outlineLevel="0" collapsed="false">
      <c r="A66" s="14"/>
      <c r="B66" s="14"/>
      <c r="C66" s="14"/>
      <c r="D66" s="14"/>
      <c r="E66" s="14"/>
      <c r="F66" s="14"/>
      <c r="G66" s="15" t="str">
        <f aca="false">IF($B66="","",IF($M66=0,"✗ unknown species",IF($N66+$O66+$P66&gt;$C66,"✗ allocated more than fish weight",IF($D66+$E66+$F66&gt;$N66+$O66+$P66,"✗ some value-added not applied — 15 lb min per fish / species not eligible — bills as fillet",IF(AND(INDEX(Rates!$B$27:$B$35,$M66)=1,$C66&gt;=Rates!$B$24,$C66&lt;=Rates!$C$24),"~ borderline 10–14 lb — tier may flip at the scale","✓")))))</f>
        <v/>
      </c>
      <c r="H66" s="15" t="str">
        <f aca="false">IF($B66="","",IF($Q66=1,"under-12",""))</f>
        <v/>
      </c>
      <c r="I66" s="15" t="str">
        <f aca="false">IF($M66=0,"",MAX(0,$C66-($N66+$O66+$P66)))</f>
        <v/>
      </c>
      <c r="J66" s="16" t="n">
        <f aca="false">IF($M66=0,0,MAX(0,$C66-($N66+$O66+$P66))*IF($Q66=1,Rates!$B$7,Rates!$B$6)+$N66*Rates!$B$8+$O66*Rates!$B$9+$P66*Rates!$B$10)</f>
        <v>0</v>
      </c>
      <c r="K66" s="16" t="n">
        <f aca="false">IF($M66=0,0,MAX(0,$C66-($N66+$O66+$P66))*IF($Q66=1,Rates!$C$7,Rates!$C$6)+$N66*Rates!$C$8+$O66*Rates!$C$9+$P66*Rates!$C$10)</f>
        <v>0</v>
      </c>
      <c r="M66" s="3" t="n">
        <f aca="false">IFERROR(MATCH($B66,Rates!$A$27:$A$35,0),0)</f>
        <v>0</v>
      </c>
      <c r="N66" s="3" t="n">
        <f aca="false">IF($M66=0,0,IF(AND(INDEX(Rates!$C$27:$C$35,$M66)=1,$D66&gt;=Rates!$B$22),$D66,0))</f>
        <v>0</v>
      </c>
      <c r="O66" s="3" t="n">
        <f aca="false">IF($M66=0,0,IF(AND(INDEX(Rates!$D$27:$D$35,$M66)=1,$E66&gt;=Rates!$B$22),$E66,0))</f>
        <v>0</v>
      </c>
      <c r="P66" s="3" t="n">
        <f aca="false">IF($M66=0,0,IF(AND(INDEX(Rates!$E$27:$E$35,$M66)=1,$F66&gt;=Rates!$B$22),$F66,0))</f>
        <v>0</v>
      </c>
      <c r="Q66" s="3" t="n">
        <f aca="false">IF($M66=0,0,IF(AND(INDEX(Rates!$B$27:$B$35,$M66)=1,$C66&lt;Rates!$B$23),1,0))</f>
        <v>0</v>
      </c>
    </row>
    <row r="67" customFormat="false" ht="15" hidden="false" customHeight="false" outlineLevel="0" collapsed="false">
      <c r="A67" s="14"/>
      <c r="B67" s="14"/>
      <c r="C67" s="14"/>
      <c r="D67" s="14"/>
      <c r="E67" s="14"/>
      <c r="F67" s="14"/>
      <c r="G67" s="15" t="str">
        <f aca="false">IF($B67="","",IF($M67=0,"✗ unknown species",IF($N67+$O67+$P67&gt;$C67,"✗ allocated more than fish weight",IF($D67+$E67+$F67&gt;$N67+$O67+$P67,"✗ some value-added not applied — 15 lb min per fish / species not eligible — bills as fillet",IF(AND(INDEX(Rates!$B$27:$B$35,$M67)=1,$C67&gt;=Rates!$B$24,$C67&lt;=Rates!$C$24),"~ borderline 10–14 lb — tier may flip at the scale","✓")))))</f>
        <v/>
      </c>
      <c r="H67" s="15" t="str">
        <f aca="false">IF($B67="","",IF($Q67=1,"under-12",""))</f>
        <v/>
      </c>
      <c r="I67" s="15" t="str">
        <f aca="false">IF($M67=0,"",MAX(0,$C67-($N67+$O67+$P67)))</f>
        <v/>
      </c>
      <c r="J67" s="16" t="n">
        <f aca="false">IF($M67=0,0,MAX(0,$C67-($N67+$O67+$P67))*IF($Q67=1,Rates!$B$7,Rates!$B$6)+$N67*Rates!$B$8+$O67*Rates!$B$9+$P67*Rates!$B$10)</f>
        <v>0</v>
      </c>
      <c r="K67" s="16" t="n">
        <f aca="false">IF($M67=0,0,MAX(0,$C67-($N67+$O67+$P67))*IF($Q67=1,Rates!$C$7,Rates!$C$6)+$N67*Rates!$C$8+$O67*Rates!$C$9+$P67*Rates!$C$10)</f>
        <v>0</v>
      </c>
      <c r="M67" s="3" t="n">
        <f aca="false">IFERROR(MATCH($B67,Rates!$A$27:$A$35,0),0)</f>
        <v>0</v>
      </c>
      <c r="N67" s="3" t="n">
        <f aca="false">IF($M67=0,0,IF(AND(INDEX(Rates!$C$27:$C$35,$M67)=1,$D67&gt;=Rates!$B$22),$D67,0))</f>
        <v>0</v>
      </c>
      <c r="O67" s="3" t="n">
        <f aca="false">IF($M67=0,0,IF(AND(INDEX(Rates!$D$27:$D$35,$M67)=1,$E67&gt;=Rates!$B$22),$E67,0))</f>
        <v>0</v>
      </c>
      <c r="P67" s="3" t="n">
        <f aca="false">IF($M67=0,0,IF(AND(INDEX(Rates!$E$27:$E$35,$M67)=1,$F67&gt;=Rates!$B$22),$F67,0))</f>
        <v>0</v>
      </c>
      <c r="Q67" s="3" t="n">
        <f aca="false">IF($M67=0,0,IF(AND(INDEX(Rates!$B$27:$B$35,$M67)=1,$C67&lt;Rates!$B$23),1,0))</f>
        <v>0</v>
      </c>
    </row>
    <row r="68" customFormat="false" ht="15" hidden="false" customHeight="false" outlineLevel="0" collapsed="false">
      <c r="A68" s="14"/>
      <c r="B68" s="14"/>
      <c r="C68" s="14"/>
      <c r="D68" s="14"/>
      <c r="E68" s="14"/>
      <c r="F68" s="14"/>
      <c r="G68" s="15" t="str">
        <f aca="false">IF($B68="","",IF($M68=0,"✗ unknown species",IF($N68+$O68+$P68&gt;$C68,"✗ allocated more than fish weight",IF($D68+$E68+$F68&gt;$N68+$O68+$P68,"✗ some value-added not applied — 15 lb min per fish / species not eligible — bills as fillet",IF(AND(INDEX(Rates!$B$27:$B$35,$M68)=1,$C68&gt;=Rates!$B$24,$C68&lt;=Rates!$C$24),"~ borderline 10–14 lb — tier may flip at the scale","✓")))))</f>
        <v/>
      </c>
      <c r="H68" s="15" t="str">
        <f aca="false">IF($B68="","",IF($Q68=1,"under-12",""))</f>
        <v/>
      </c>
      <c r="I68" s="15" t="str">
        <f aca="false">IF($M68=0,"",MAX(0,$C68-($N68+$O68+$P68)))</f>
        <v/>
      </c>
      <c r="J68" s="16" t="n">
        <f aca="false">IF($M68=0,0,MAX(0,$C68-($N68+$O68+$P68))*IF($Q68=1,Rates!$B$7,Rates!$B$6)+$N68*Rates!$B$8+$O68*Rates!$B$9+$P68*Rates!$B$10)</f>
        <v>0</v>
      </c>
      <c r="K68" s="16" t="n">
        <f aca="false">IF($M68=0,0,MAX(0,$C68-($N68+$O68+$P68))*IF($Q68=1,Rates!$C$7,Rates!$C$6)+$N68*Rates!$C$8+$O68*Rates!$C$9+$P68*Rates!$C$10)</f>
        <v>0</v>
      </c>
      <c r="M68" s="3" t="n">
        <f aca="false">IFERROR(MATCH($B68,Rates!$A$27:$A$35,0),0)</f>
        <v>0</v>
      </c>
      <c r="N68" s="3" t="n">
        <f aca="false">IF($M68=0,0,IF(AND(INDEX(Rates!$C$27:$C$35,$M68)=1,$D68&gt;=Rates!$B$22),$D68,0))</f>
        <v>0</v>
      </c>
      <c r="O68" s="3" t="n">
        <f aca="false">IF($M68=0,0,IF(AND(INDEX(Rates!$D$27:$D$35,$M68)=1,$E68&gt;=Rates!$B$22),$E68,0))</f>
        <v>0</v>
      </c>
      <c r="P68" s="3" t="n">
        <f aca="false">IF($M68=0,0,IF(AND(INDEX(Rates!$E$27:$E$35,$M68)=1,$F68&gt;=Rates!$B$22),$F68,0))</f>
        <v>0</v>
      </c>
      <c r="Q68" s="3" t="n">
        <f aca="false">IF($M68=0,0,IF(AND(INDEX(Rates!$B$27:$B$35,$M68)=1,$C68&lt;Rates!$B$23),1,0))</f>
        <v>0</v>
      </c>
    </row>
    <row r="69" customFormat="false" ht="15" hidden="false" customHeight="false" outlineLevel="0" collapsed="false">
      <c r="A69" s="14"/>
      <c r="B69" s="14"/>
      <c r="C69" s="14"/>
      <c r="D69" s="14"/>
      <c r="E69" s="14"/>
      <c r="F69" s="14"/>
      <c r="G69" s="15" t="str">
        <f aca="false">IF($B69="","",IF($M69=0,"✗ unknown species",IF($N69+$O69+$P69&gt;$C69,"✗ allocated more than fish weight",IF($D69+$E69+$F69&gt;$N69+$O69+$P69,"✗ some value-added not applied — 15 lb min per fish / species not eligible — bills as fillet",IF(AND(INDEX(Rates!$B$27:$B$35,$M69)=1,$C69&gt;=Rates!$B$24,$C69&lt;=Rates!$C$24),"~ borderline 10–14 lb — tier may flip at the scale","✓")))))</f>
        <v/>
      </c>
      <c r="H69" s="15" t="str">
        <f aca="false">IF($B69="","",IF($Q69=1,"under-12",""))</f>
        <v/>
      </c>
      <c r="I69" s="15" t="str">
        <f aca="false">IF($M69=0,"",MAX(0,$C69-($N69+$O69+$P69)))</f>
        <v/>
      </c>
      <c r="J69" s="16" t="n">
        <f aca="false">IF($M69=0,0,MAX(0,$C69-($N69+$O69+$P69))*IF($Q69=1,Rates!$B$7,Rates!$B$6)+$N69*Rates!$B$8+$O69*Rates!$B$9+$P69*Rates!$B$10)</f>
        <v>0</v>
      </c>
      <c r="K69" s="16" t="n">
        <f aca="false">IF($M69=0,0,MAX(0,$C69-($N69+$O69+$P69))*IF($Q69=1,Rates!$C$7,Rates!$C$6)+$N69*Rates!$C$8+$O69*Rates!$C$9+$P69*Rates!$C$10)</f>
        <v>0</v>
      </c>
      <c r="M69" s="3" t="n">
        <f aca="false">IFERROR(MATCH($B69,Rates!$A$27:$A$35,0),0)</f>
        <v>0</v>
      </c>
      <c r="N69" s="3" t="n">
        <f aca="false">IF($M69=0,0,IF(AND(INDEX(Rates!$C$27:$C$35,$M69)=1,$D69&gt;=Rates!$B$22),$D69,0))</f>
        <v>0</v>
      </c>
      <c r="O69" s="3" t="n">
        <f aca="false">IF($M69=0,0,IF(AND(INDEX(Rates!$D$27:$D$35,$M69)=1,$E69&gt;=Rates!$B$22),$E69,0))</f>
        <v>0</v>
      </c>
      <c r="P69" s="3" t="n">
        <f aca="false">IF($M69=0,0,IF(AND(INDEX(Rates!$E$27:$E$35,$M69)=1,$F69&gt;=Rates!$B$22),$F69,0))</f>
        <v>0</v>
      </c>
      <c r="Q69" s="3" t="n">
        <f aca="false">IF($M69=0,0,IF(AND(INDEX(Rates!$B$27:$B$35,$M69)=1,$C69&lt;Rates!$B$23),1,0))</f>
        <v>0</v>
      </c>
    </row>
    <row r="70" customFormat="false" ht="15" hidden="false" customHeight="false" outlineLevel="0" collapsed="false">
      <c r="A70" s="14"/>
      <c r="B70" s="14"/>
      <c r="C70" s="14"/>
      <c r="D70" s="14"/>
      <c r="E70" s="14"/>
      <c r="F70" s="14"/>
      <c r="G70" s="15" t="str">
        <f aca="false">IF($B70="","",IF($M70=0,"✗ unknown species",IF($N70+$O70+$P70&gt;$C70,"✗ allocated more than fish weight",IF($D70+$E70+$F70&gt;$N70+$O70+$P70,"✗ some value-added not applied — 15 lb min per fish / species not eligible — bills as fillet",IF(AND(INDEX(Rates!$B$27:$B$35,$M70)=1,$C70&gt;=Rates!$B$24,$C70&lt;=Rates!$C$24),"~ borderline 10–14 lb — tier may flip at the scale","✓")))))</f>
        <v/>
      </c>
      <c r="H70" s="15" t="str">
        <f aca="false">IF($B70="","",IF($Q70=1,"under-12",""))</f>
        <v/>
      </c>
      <c r="I70" s="15" t="str">
        <f aca="false">IF($M70=0,"",MAX(0,$C70-($N70+$O70+$P70)))</f>
        <v/>
      </c>
      <c r="J70" s="16" t="n">
        <f aca="false">IF($M70=0,0,MAX(0,$C70-($N70+$O70+$P70))*IF($Q70=1,Rates!$B$7,Rates!$B$6)+$N70*Rates!$B$8+$O70*Rates!$B$9+$P70*Rates!$B$10)</f>
        <v>0</v>
      </c>
      <c r="K70" s="16" t="n">
        <f aca="false">IF($M70=0,0,MAX(0,$C70-($N70+$O70+$P70))*IF($Q70=1,Rates!$C$7,Rates!$C$6)+$N70*Rates!$C$8+$O70*Rates!$C$9+$P70*Rates!$C$10)</f>
        <v>0</v>
      </c>
      <c r="M70" s="3" t="n">
        <f aca="false">IFERROR(MATCH($B70,Rates!$A$27:$A$35,0),0)</f>
        <v>0</v>
      </c>
      <c r="N70" s="3" t="n">
        <f aca="false">IF($M70=0,0,IF(AND(INDEX(Rates!$C$27:$C$35,$M70)=1,$D70&gt;=Rates!$B$22),$D70,0))</f>
        <v>0</v>
      </c>
      <c r="O70" s="3" t="n">
        <f aca="false">IF($M70=0,0,IF(AND(INDEX(Rates!$D$27:$D$35,$M70)=1,$E70&gt;=Rates!$B$22),$E70,0))</f>
        <v>0</v>
      </c>
      <c r="P70" s="3" t="n">
        <f aca="false">IF($M70=0,0,IF(AND(INDEX(Rates!$E$27:$E$35,$M70)=1,$F70&gt;=Rates!$B$22),$F70,0))</f>
        <v>0</v>
      </c>
      <c r="Q70" s="3" t="n">
        <f aca="false">IF($M70=0,0,IF(AND(INDEX(Rates!$B$27:$B$35,$M70)=1,$C70&lt;Rates!$B$23),1,0))</f>
        <v>0</v>
      </c>
    </row>
    <row r="71" customFormat="false" ht="15" hidden="false" customHeight="false" outlineLevel="0" collapsed="false">
      <c r="A71" s="14"/>
      <c r="B71" s="14"/>
      <c r="C71" s="14"/>
      <c r="D71" s="14"/>
      <c r="E71" s="14"/>
      <c r="F71" s="14"/>
      <c r="G71" s="15" t="str">
        <f aca="false">IF($B71="","",IF($M71=0,"✗ unknown species",IF($N71+$O71+$P71&gt;$C71,"✗ allocated more than fish weight",IF($D71+$E71+$F71&gt;$N71+$O71+$P71,"✗ some value-added not applied — 15 lb min per fish / species not eligible — bills as fillet",IF(AND(INDEX(Rates!$B$27:$B$35,$M71)=1,$C71&gt;=Rates!$B$24,$C71&lt;=Rates!$C$24),"~ borderline 10–14 lb — tier may flip at the scale","✓")))))</f>
        <v/>
      </c>
      <c r="H71" s="15" t="str">
        <f aca="false">IF($B71="","",IF($Q71=1,"under-12",""))</f>
        <v/>
      </c>
      <c r="I71" s="15" t="str">
        <f aca="false">IF($M71=0,"",MAX(0,$C71-($N71+$O71+$P71)))</f>
        <v/>
      </c>
      <c r="J71" s="16" t="n">
        <f aca="false">IF($M71=0,0,MAX(0,$C71-($N71+$O71+$P71))*IF($Q71=1,Rates!$B$7,Rates!$B$6)+$N71*Rates!$B$8+$O71*Rates!$B$9+$P71*Rates!$B$10)</f>
        <v>0</v>
      </c>
      <c r="K71" s="16" t="n">
        <f aca="false">IF($M71=0,0,MAX(0,$C71-($N71+$O71+$P71))*IF($Q71=1,Rates!$C$7,Rates!$C$6)+$N71*Rates!$C$8+$O71*Rates!$C$9+$P71*Rates!$C$10)</f>
        <v>0</v>
      </c>
      <c r="M71" s="3" t="n">
        <f aca="false">IFERROR(MATCH($B71,Rates!$A$27:$A$35,0),0)</f>
        <v>0</v>
      </c>
      <c r="N71" s="3" t="n">
        <f aca="false">IF($M71=0,0,IF(AND(INDEX(Rates!$C$27:$C$35,$M71)=1,$D71&gt;=Rates!$B$22),$D71,0))</f>
        <v>0</v>
      </c>
      <c r="O71" s="3" t="n">
        <f aca="false">IF($M71=0,0,IF(AND(INDEX(Rates!$D$27:$D$35,$M71)=1,$E71&gt;=Rates!$B$22),$E71,0))</f>
        <v>0</v>
      </c>
      <c r="P71" s="3" t="n">
        <f aca="false">IF($M71=0,0,IF(AND(INDEX(Rates!$E$27:$E$35,$M71)=1,$F71&gt;=Rates!$B$22),$F71,0))</f>
        <v>0</v>
      </c>
      <c r="Q71" s="3" t="n">
        <f aca="false">IF($M71=0,0,IF(AND(INDEX(Rates!$B$27:$B$35,$M71)=1,$C71&lt;Rates!$B$23),1,0))</f>
        <v>0</v>
      </c>
    </row>
    <row r="72" customFormat="false" ht="15" hidden="false" customHeight="false" outlineLevel="0" collapsed="false">
      <c r="A72" s="14"/>
      <c r="B72" s="14"/>
      <c r="C72" s="14"/>
      <c r="D72" s="14"/>
      <c r="E72" s="14"/>
      <c r="F72" s="14"/>
      <c r="G72" s="15" t="str">
        <f aca="false">IF($B72="","",IF($M72=0,"✗ unknown species",IF($N72+$O72+$P72&gt;$C72,"✗ allocated more than fish weight",IF($D72+$E72+$F72&gt;$N72+$O72+$P72,"✗ some value-added not applied — 15 lb min per fish / species not eligible — bills as fillet",IF(AND(INDEX(Rates!$B$27:$B$35,$M72)=1,$C72&gt;=Rates!$B$24,$C72&lt;=Rates!$C$24),"~ borderline 10–14 lb — tier may flip at the scale","✓")))))</f>
        <v/>
      </c>
      <c r="H72" s="15" t="str">
        <f aca="false">IF($B72="","",IF($Q72=1,"under-12",""))</f>
        <v/>
      </c>
      <c r="I72" s="15" t="str">
        <f aca="false">IF($M72=0,"",MAX(0,$C72-($N72+$O72+$P72)))</f>
        <v/>
      </c>
      <c r="J72" s="16" t="n">
        <f aca="false">IF($M72=0,0,MAX(0,$C72-($N72+$O72+$P72))*IF($Q72=1,Rates!$B$7,Rates!$B$6)+$N72*Rates!$B$8+$O72*Rates!$B$9+$P72*Rates!$B$10)</f>
        <v>0</v>
      </c>
      <c r="K72" s="16" t="n">
        <f aca="false">IF($M72=0,0,MAX(0,$C72-($N72+$O72+$P72))*IF($Q72=1,Rates!$C$7,Rates!$C$6)+$N72*Rates!$C$8+$O72*Rates!$C$9+$P72*Rates!$C$10)</f>
        <v>0</v>
      </c>
      <c r="M72" s="3" t="n">
        <f aca="false">IFERROR(MATCH($B72,Rates!$A$27:$A$35,0),0)</f>
        <v>0</v>
      </c>
      <c r="N72" s="3" t="n">
        <f aca="false">IF($M72=0,0,IF(AND(INDEX(Rates!$C$27:$C$35,$M72)=1,$D72&gt;=Rates!$B$22),$D72,0))</f>
        <v>0</v>
      </c>
      <c r="O72" s="3" t="n">
        <f aca="false">IF($M72=0,0,IF(AND(INDEX(Rates!$D$27:$D$35,$M72)=1,$E72&gt;=Rates!$B$22),$E72,0))</f>
        <v>0</v>
      </c>
      <c r="P72" s="3" t="n">
        <f aca="false">IF($M72=0,0,IF(AND(INDEX(Rates!$E$27:$E$35,$M72)=1,$F72&gt;=Rates!$B$22),$F72,0))</f>
        <v>0</v>
      </c>
      <c r="Q72" s="3" t="n">
        <f aca="false">IF($M72=0,0,IF(AND(INDEX(Rates!$B$27:$B$35,$M72)=1,$C72&lt;Rates!$B$23),1,0))</f>
        <v>0</v>
      </c>
    </row>
    <row r="73" customFormat="false" ht="15" hidden="false" customHeight="false" outlineLevel="0" collapsed="false">
      <c r="A73" s="14"/>
      <c r="B73" s="14"/>
      <c r="C73" s="14"/>
      <c r="D73" s="14"/>
      <c r="E73" s="14"/>
      <c r="F73" s="14"/>
      <c r="G73" s="15" t="str">
        <f aca="false">IF($B73="","",IF($M73=0,"✗ unknown species",IF($N73+$O73+$P73&gt;$C73,"✗ allocated more than fish weight",IF($D73+$E73+$F73&gt;$N73+$O73+$P73,"✗ some value-added not applied — 15 lb min per fish / species not eligible — bills as fillet",IF(AND(INDEX(Rates!$B$27:$B$35,$M73)=1,$C73&gt;=Rates!$B$24,$C73&lt;=Rates!$C$24),"~ borderline 10–14 lb — tier may flip at the scale","✓")))))</f>
        <v/>
      </c>
      <c r="H73" s="15" t="str">
        <f aca="false">IF($B73="","",IF($Q73=1,"under-12",""))</f>
        <v/>
      </c>
      <c r="I73" s="15" t="str">
        <f aca="false">IF($M73=0,"",MAX(0,$C73-($N73+$O73+$P73)))</f>
        <v/>
      </c>
      <c r="J73" s="16" t="n">
        <f aca="false">IF($M73=0,0,MAX(0,$C73-($N73+$O73+$P73))*IF($Q73=1,Rates!$B$7,Rates!$B$6)+$N73*Rates!$B$8+$O73*Rates!$B$9+$P73*Rates!$B$10)</f>
        <v>0</v>
      </c>
      <c r="K73" s="16" t="n">
        <f aca="false">IF($M73=0,0,MAX(0,$C73-($N73+$O73+$P73))*IF($Q73=1,Rates!$C$7,Rates!$C$6)+$N73*Rates!$C$8+$O73*Rates!$C$9+$P73*Rates!$C$10)</f>
        <v>0</v>
      </c>
      <c r="M73" s="3" t="n">
        <f aca="false">IFERROR(MATCH($B73,Rates!$A$27:$A$35,0),0)</f>
        <v>0</v>
      </c>
      <c r="N73" s="3" t="n">
        <f aca="false">IF($M73=0,0,IF(AND(INDEX(Rates!$C$27:$C$35,$M73)=1,$D73&gt;=Rates!$B$22),$D73,0))</f>
        <v>0</v>
      </c>
      <c r="O73" s="3" t="n">
        <f aca="false">IF($M73=0,0,IF(AND(INDEX(Rates!$D$27:$D$35,$M73)=1,$E73&gt;=Rates!$B$22),$E73,0))</f>
        <v>0</v>
      </c>
      <c r="P73" s="3" t="n">
        <f aca="false">IF($M73=0,0,IF(AND(INDEX(Rates!$E$27:$E$35,$M73)=1,$F73&gt;=Rates!$B$22),$F73,0))</f>
        <v>0</v>
      </c>
      <c r="Q73" s="3" t="n">
        <f aca="false">IF($M73=0,0,IF(AND(INDEX(Rates!$B$27:$B$35,$M73)=1,$C73&lt;Rates!$B$23),1,0))</f>
        <v>0</v>
      </c>
    </row>
    <row r="74" customFormat="false" ht="15" hidden="false" customHeight="false" outlineLevel="0" collapsed="false">
      <c r="A74" s="14"/>
      <c r="B74" s="14"/>
      <c r="C74" s="14"/>
      <c r="D74" s="14"/>
      <c r="E74" s="14"/>
      <c r="F74" s="14"/>
      <c r="G74" s="15" t="str">
        <f aca="false">IF($B74="","",IF($M74=0,"✗ unknown species",IF($N74+$O74+$P74&gt;$C74,"✗ allocated more than fish weight",IF($D74+$E74+$F74&gt;$N74+$O74+$P74,"✗ some value-added not applied — 15 lb min per fish / species not eligible — bills as fillet",IF(AND(INDEX(Rates!$B$27:$B$35,$M74)=1,$C74&gt;=Rates!$B$24,$C74&lt;=Rates!$C$24),"~ borderline 10–14 lb — tier may flip at the scale","✓")))))</f>
        <v/>
      </c>
      <c r="H74" s="15" t="str">
        <f aca="false">IF($B74="","",IF($Q74=1,"under-12",""))</f>
        <v/>
      </c>
      <c r="I74" s="15" t="str">
        <f aca="false">IF($M74=0,"",MAX(0,$C74-($N74+$O74+$P74)))</f>
        <v/>
      </c>
      <c r="J74" s="16" t="n">
        <f aca="false">IF($M74=0,0,MAX(0,$C74-($N74+$O74+$P74))*IF($Q74=1,Rates!$B$7,Rates!$B$6)+$N74*Rates!$B$8+$O74*Rates!$B$9+$P74*Rates!$B$10)</f>
        <v>0</v>
      </c>
      <c r="K74" s="16" t="n">
        <f aca="false">IF($M74=0,0,MAX(0,$C74-($N74+$O74+$P74))*IF($Q74=1,Rates!$C$7,Rates!$C$6)+$N74*Rates!$C$8+$O74*Rates!$C$9+$P74*Rates!$C$10)</f>
        <v>0</v>
      </c>
      <c r="M74" s="3" t="n">
        <f aca="false">IFERROR(MATCH($B74,Rates!$A$27:$A$35,0),0)</f>
        <v>0</v>
      </c>
      <c r="N74" s="3" t="n">
        <f aca="false">IF($M74=0,0,IF(AND(INDEX(Rates!$C$27:$C$35,$M74)=1,$D74&gt;=Rates!$B$22),$D74,0))</f>
        <v>0</v>
      </c>
      <c r="O74" s="3" t="n">
        <f aca="false">IF($M74=0,0,IF(AND(INDEX(Rates!$D$27:$D$35,$M74)=1,$E74&gt;=Rates!$B$22),$E74,0))</f>
        <v>0</v>
      </c>
      <c r="P74" s="3" t="n">
        <f aca="false">IF($M74=0,0,IF(AND(INDEX(Rates!$E$27:$E$35,$M74)=1,$F74&gt;=Rates!$B$22),$F74,0))</f>
        <v>0</v>
      </c>
      <c r="Q74" s="3" t="n">
        <f aca="false">IF($M74=0,0,IF(AND(INDEX(Rates!$B$27:$B$35,$M74)=1,$C74&lt;Rates!$B$23),1,0))</f>
        <v>0</v>
      </c>
    </row>
    <row r="75" customFormat="false" ht="15" hidden="false" customHeight="false" outlineLevel="0" collapsed="false">
      <c r="A75" s="14"/>
      <c r="B75" s="14"/>
      <c r="C75" s="14"/>
      <c r="D75" s="14"/>
      <c r="E75" s="14"/>
      <c r="F75" s="14"/>
      <c r="G75" s="15" t="str">
        <f aca="false">IF($B75="","",IF($M75=0,"✗ unknown species",IF($N75+$O75+$P75&gt;$C75,"✗ allocated more than fish weight",IF($D75+$E75+$F75&gt;$N75+$O75+$P75,"✗ some value-added not applied — 15 lb min per fish / species not eligible — bills as fillet",IF(AND(INDEX(Rates!$B$27:$B$35,$M75)=1,$C75&gt;=Rates!$B$24,$C75&lt;=Rates!$C$24),"~ borderline 10–14 lb — tier may flip at the scale","✓")))))</f>
        <v/>
      </c>
      <c r="H75" s="15" t="str">
        <f aca="false">IF($B75="","",IF($Q75=1,"under-12",""))</f>
        <v/>
      </c>
      <c r="I75" s="15" t="str">
        <f aca="false">IF($M75=0,"",MAX(0,$C75-($N75+$O75+$P75)))</f>
        <v/>
      </c>
      <c r="J75" s="16" t="n">
        <f aca="false">IF($M75=0,0,MAX(0,$C75-($N75+$O75+$P75))*IF($Q75=1,Rates!$B$7,Rates!$B$6)+$N75*Rates!$B$8+$O75*Rates!$B$9+$P75*Rates!$B$10)</f>
        <v>0</v>
      </c>
      <c r="K75" s="16" t="n">
        <f aca="false">IF($M75=0,0,MAX(0,$C75-($N75+$O75+$P75))*IF($Q75=1,Rates!$C$7,Rates!$C$6)+$N75*Rates!$C$8+$O75*Rates!$C$9+$P75*Rates!$C$10)</f>
        <v>0</v>
      </c>
      <c r="M75" s="3" t="n">
        <f aca="false">IFERROR(MATCH($B75,Rates!$A$27:$A$35,0),0)</f>
        <v>0</v>
      </c>
      <c r="N75" s="3" t="n">
        <f aca="false">IF($M75=0,0,IF(AND(INDEX(Rates!$C$27:$C$35,$M75)=1,$D75&gt;=Rates!$B$22),$D75,0))</f>
        <v>0</v>
      </c>
      <c r="O75" s="3" t="n">
        <f aca="false">IF($M75=0,0,IF(AND(INDEX(Rates!$D$27:$D$35,$M75)=1,$E75&gt;=Rates!$B$22),$E75,0))</f>
        <v>0</v>
      </c>
      <c r="P75" s="3" t="n">
        <f aca="false">IF($M75=0,0,IF(AND(INDEX(Rates!$E$27:$E$35,$M75)=1,$F75&gt;=Rates!$B$22),$F75,0))</f>
        <v>0</v>
      </c>
      <c r="Q75" s="3" t="n">
        <f aca="false">IF($M75=0,0,IF(AND(INDEX(Rates!$B$27:$B$35,$M75)=1,$C75&lt;Rates!$B$23),1,0))</f>
        <v>0</v>
      </c>
    </row>
    <row r="76" customFormat="false" ht="15" hidden="false" customHeight="false" outlineLevel="0" collapsed="false">
      <c r="A76" s="14"/>
      <c r="B76" s="14"/>
      <c r="C76" s="14"/>
      <c r="D76" s="14"/>
      <c r="E76" s="14"/>
      <c r="F76" s="14"/>
      <c r="G76" s="15" t="str">
        <f aca="false">IF($B76="","",IF($M76=0,"✗ unknown species",IF($N76+$O76+$P76&gt;$C76,"✗ allocated more than fish weight",IF($D76+$E76+$F76&gt;$N76+$O76+$P76,"✗ some value-added not applied — 15 lb min per fish / species not eligible — bills as fillet",IF(AND(INDEX(Rates!$B$27:$B$35,$M76)=1,$C76&gt;=Rates!$B$24,$C76&lt;=Rates!$C$24),"~ borderline 10–14 lb — tier may flip at the scale","✓")))))</f>
        <v/>
      </c>
      <c r="H76" s="15" t="str">
        <f aca="false">IF($B76="","",IF($Q76=1,"under-12",""))</f>
        <v/>
      </c>
      <c r="I76" s="15" t="str">
        <f aca="false">IF($M76=0,"",MAX(0,$C76-($N76+$O76+$P76)))</f>
        <v/>
      </c>
      <c r="J76" s="16" t="n">
        <f aca="false">IF($M76=0,0,MAX(0,$C76-($N76+$O76+$P76))*IF($Q76=1,Rates!$B$7,Rates!$B$6)+$N76*Rates!$B$8+$O76*Rates!$B$9+$P76*Rates!$B$10)</f>
        <v>0</v>
      </c>
      <c r="K76" s="16" t="n">
        <f aca="false">IF($M76=0,0,MAX(0,$C76-($N76+$O76+$P76))*IF($Q76=1,Rates!$C$7,Rates!$C$6)+$N76*Rates!$C$8+$O76*Rates!$C$9+$P76*Rates!$C$10)</f>
        <v>0</v>
      </c>
      <c r="M76" s="3" t="n">
        <f aca="false">IFERROR(MATCH($B76,Rates!$A$27:$A$35,0),0)</f>
        <v>0</v>
      </c>
      <c r="N76" s="3" t="n">
        <f aca="false">IF($M76=0,0,IF(AND(INDEX(Rates!$C$27:$C$35,$M76)=1,$D76&gt;=Rates!$B$22),$D76,0))</f>
        <v>0</v>
      </c>
      <c r="O76" s="3" t="n">
        <f aca="false">IF($M76=0,0,IF(AND(INDEX(Rates!$D$27:$D$35,$M76)=1,$E76&gt;=Rates!$B$22),$E76,0))</f>
        <v>0</v>
      </c>
      <c r="P76" s="3" t="n">
        <f aca="false">IF($M76=0,0,IF(AND(INDEX(Rates!$E$27:$E$35,$M76)=1,$F76&gt;=Rates!$B$22),$F76,0))</f>
        <v>0</v>
      </c>
      <c r="Q76" s="3" t="n">
        <f aca="false">IF($M76=0,0,IF(AND(INDEX(Rates!$B$27:$B$35,$M76)=1,$C76&lt;Rates!$B$23),1,0))</f>
        <v>0</v>
      </c>
    </row>
    <row r="77" customFormat="false" ht="15" hidden="false" customHeight="false" outlineLevel="0" collapsed="false">
      <c r="A77" s="14"/>
      <c r="B77" s="14"/>
      <c r="C77" s="14"/>
      <c r="D77" s="14"/>
      <c r="E77" s="14"/>
      <c r="F77" s="14"/>
      <c r="G77" s="15" t="str">
        <f aca="false">IF($B77="","",IF($M77=0,"✗ unknown species",IF($N77+$O77+$P77&gt;$C77,"✗ allocated more than fish weight",IF($D77+$E77+$F77&gt;$N77+$O77+$P77,"✗ some value-added not applied — 15 lb min per fish / species not eligible — bills as fillet",IF(AND(INDEX(Rates!$B$27:$B$35,$M77)=1,$C77&gt;=Rates!$B$24,$C77&lt;=Rates!$C$24),"~ borderline 10–14 lb — tier may flip at the scale","✓")))))</f>
        <v/>
      </c>
      <c r="H77" s="15" t="str">
        <f aca="false">IF($B77="","",IF($Q77=1,"under-12",""))</f>
        <v/>
      </c>
      <c r="I77" s="15" t="str">
        <f aca="false">IF($M77=0,"",MAX(0,$C77-($N77+$O77+$P77)))</f>
        <v/>
      </c>
      <c r="J77" s="16" t="n">
        <f aca="false">IF($M77=0,0,MAX(0,$C77-($N77+$O77+$P77))*IF($Q77=1,Rates!$B$7,Rates!$B$6)+$N77*Rates!$B$8+$O77*Rates!$B$9+$P77*Rates!$B$10)</f>
        <v>0</v>
      </c>
      <c r="K77" s="16" t="n">
        <f aca="false">IF($M77=0,0,MAX(0,$C77-($N77+$O77+$P77))*IF($Q77=1,Rates!$C$7,Rates!$C$6)+$N77*Rates!$C$8+$O77*Rates!$C$9+$P77*Rates!$C$10)</f>
        <v>0</v>
      </c>
      <c r="M77" s="3" t="n">
        <f aca="false">IFERROR(MATCH($B77,Rates!$A$27:$A$35,0),0)</f>
        <v>0</v>
      </c>
      <c r="N77" s="3" t="n">
        <f aca="false">IF($M77=0,0,IF(AND(INDEX(Rates!$C$27:$C$35,$M77)=1,$D77&gt;=Rates!$B$22),$D77,0))</f>
        <v>0</v>
      </c>
      <c r="O77" s="3" t="n">
        <f aca="false">IF($M77=0,0,IF(AND(INDEX(Rates!$D$27:$D$35,$M77)=1,$E77&gt;=Rates!$B$22),$E77,0))</f>
        <v>0</v>
      </c>
      <c r="P77" s="3" t="n">
        <f aca="false">IF($M77=0,0,IF(AND(INDEX(Rates!$E$27:$E$35,$M77)=1,$F77&gt;=Rates!$B$22),$F77,0))</f>
        <v>0</v>
      </c>
      <c r="Q77" s="3" t="n">
        <f aca="false">IF($M77=0,0,IF(AND(INDEX(Rates!$B$27:$B$35,$M77)=1,$C77&lt;Rates!$B$23),1,0))</f>
        <v>0</v>
      </c>
    </row>
    <row r="78" customFormat="false" ht="15" hidden="false" customHeight="false" outlineLevel="0" collapsed="false">
      <c r="A78" s="14"/>
      <c r="B78" s="14"/>
      <c r="C78" s="14"/>
      <c r="D78" s="14"/>
      <c r="E78" s="14"/>
      <c r="F78" s="14"/>
      <c r="G78" s="15" t="str">
        <f aca="false">IF($B78="","",IF($M78=0,"✗ unknown species",IF($N78+$O78+$P78&gt;$C78,"✗ allocated more than fish weight",IF($D78+$E78+$F78&gt;$N78+$O78+$P78,"✗ some value-added not applied — 15 lb min per fish / species not eligible — bills as fillet",IF(AND(INDEX(Rates!$B$27:$B$35,$M78)=1,$C78&gt;=Rates!$B$24,$C78&lt;=Rates!$C$24),"~ borderline 10–14 lb — tier may flip at the scale","✓")))))</f>
        <v/>
      </c>
      <c r="H78" s="15" t="str">
        <f aca="false">IF($B78="","",IF($Q78=1,"under-12",""))</f>
        <v/>
      </c>
      <c r="I78" s="15" t="str">
        <f aca="false">IF($M78=0,"",MAX(0,$C78-($N78+$O78+$P78)))</f>
        <v/>
      </c>
      <c r="J78" s="16" t="n">
        <f aca="false">IF($M78=0,0,MAX(0,$C78-($N78+$O78+$P78))*IF($Q78=1,Rates!$B$7,Rates!$B$6)+$N78*Rates!$B$8+$O78*Rates!$B$9+$P78*Rates!$B$10)</f>
        <v>0</v>
      </c>
      <c r="K78" s="16" t="n">
        <f aca="false">IF($M78=0,0,MAX(0,$C78-($N78+$O78+$P78))*IF($Q78=1,Rates!$C$7,Rates!$C$6)+$N78*Rates!$C$8+$O78*Rates!$C$9+$P78*Rates!$C$10)</f>
        <v>0</v>
      </c>
      <c r="M78" s="3" t="n">
        <f aca="false">IFERROR(MATCH($B78,Rates!$A$27:$A$35,0),0)</f>
        <v>0</v>
      </c>
      <c r="N78" s="3" t="n">
        <f aca="false">IF($M78=0,0,IF(AND(INDEX(Rates!$C$27:$C$35,$M78)=1,$D78&gt;=Rates!$B$22),$D78,0))</f>
        <v>0</v>
      </c>
      <c r="O78" s="3" t="n">
        <f aca="false">IF($M78=0,0,IF(AND(INDEX(Rates!$D$27:$D$35,$M78)=1,$E78&gt;=Rates!$B$22),$E78,0))</f>
        <v>0</v>
      </c>
      <c r="P78" s="3" t="n">
        <f aca="false">IF($M78=0,0,IF(AND(INDEX(Rates!$E$27:$E$35,$M78)=1,$F78&gt;=Rates!$B$22),$F78,0))</f>
        <v>0</v>
      </c>
      <c r="Q78" s="3" t="n">
        <f aca="false">IF($M78=0,0,IF(AND(INDEX(Rates!$B$27:$B$35,$M78)=1,$C78&lt;Rates!$B$23),1,0))</f>
        <v>0</v>
      </c>
    </row>
    <row r="79" customFormat="false" ht="15" hidden="false" customHeight="false" outlineLevel="0" collapsed="false">
      <c r="A79" s="14"/>
      <c r="B79" s="14"/>
      <c r="C79" s="14"/>
      <c r="D79" s="14"/>
      <c r="E79" s="14"/>
      <c r="F79" s="14"/>
      <c r="G79" s="15" t="str">
        <f aca="false">IF($B79="","",IF($M79=0,"✗ unknown species",IF($N79+$O79+$P79&gt;$C79,"✗ allocated more than fish weight",IF($D79+$E79+$F79&gt;$N79+$O79+$P79,"✗ some value-added not applied — 15 lb min per fish / species not eligible — bills as fillet",IF(AND(INDEX(Rates!$B$27:$B$35,$M79)=1,$C79&gt;=Rates!$B$24,$C79&lt;=Rates!$C$24),"~ borderline 10–14 lb — tier may flip at the scale","✓")))))</f>
        <v/>
      </c>
      <c r="H79" s="15" t="str">
        <f aca="false">IF($B79="","",IF($Q79=1,"under-12",""))</f>
        <v/>
      </c>
      <c r="I79" s="15" t="str">
        <f aca="false">IF($M79=0,"",MAX(0,$C79-($N79+$O79+$P79)))</f>
        <v/>
      </c>
      <c r="J79" s="16" t="n">
        <f aca="false">IF($M79=0,0,MAX(0,$C79-($N79+$O79+$P79))*IF($Q79=1,Rates!$B$7,Rates!$B$6)+$N79*Rates!$B$8+$O79*Rates!$B$9+$P79*Rates!$B$10)</f>
        <v>0</v>
      </c>
      <c r="K79" s="16" t="n">
        <f aca="false">IF($M79=0,0,MAX(0,$C79-($N79+$O79+$P79))*IF($Q79=1,Rates!$C$7,Rates!$C$6)+$N79*Rates!$C$8+$O79*Rates!$C$9+$P79*Rates!$C$10)</f>
        <v>0</v>
      </c>
      <c r="M79" s="3" t="n">
        <f aca="false">IFERROR(MATCH($B79,Rates!$A$27:$A$35,0),0)</f>
        <v>0</v>
      </c>
      <c r="N79" s="3" t="n">
        <f aca="false">IF($M79=0,0,IF(AND(INDEX(Rates!$C$27:$C$35,$M79)=1,$D79&gt;=Rates!$B$22),$D79,0))</f>
        <v>0</v>
      </c>
      <c r="O79" s="3" t="n">
        <f aca="false">IF($M79=0,0,IF(AND(INDEX(Rates!$D$27:$D$35,$M79)=1,$E79&gt;=Rates!$B$22),$E79,0))</f>
        <v>0</v>
      </c>
      <c r="P79" s="3" t="n">
        <f aca="false">IF($M79=0,0,IF(AND(INDEX(Rates!$E$27:$E$35,$M79)=1,$F79&gt;=Rates!$B$22),$F79,0))</f>
        <v>0</v>
      </c>
      <c r="Q79" s="3" t="n">
        <f aca="false">IF($M79=0,0,IF(AND(INDEX(Rates!$B$27:$B$35,$M79)=1,$C79&lt;Rates!$B$23),1,0))</f>
        <v>0</v>
      </c>
    </row>
    <row r="80" customFormat="false" ht="15" hidden="false" customHeight="false" outlineLevel="0" collapsed="false">
      <c r="A80" s="14"/>
      <c r="B80" s="14"/>
      <c r="C80" s="14"/>
      <c r="D80" s="14"/>
      <c r="E80" s="14"/>
      <c r="F80" s="14"/>
      <c r="G80" s="15" t="str">
        <f aca="false">IF($B80="","",IF($M80=0,"✗ unknown species",IF($N80+$O80+$P80&gt;$C80,"✗ allocated more than fish weight",IF($D80+$E80+$F80&gt;$N80+$O80+$P80,"✗ some value-added not applied — 15 lb min per fish / species not eligible — bills as fillet",IF(AND(INDEX(Rates!$B$27:$B$35,$M80)=1,$C80&gt;=Rates!$B$24,$C80&lt;=Rates!$C$24),"~ borderline 10–14 lb — tier may flip at the scale","✓")))))</f>
        <v/>
      </c>
      <c r="H80" s="15" t="str">
        <f aca="false">IF($B80="","",IF($Q80=1,"under-12",""))</f>
        <v/>
      </c>
      <c r="I80" s="15" t="str">
        <f aca="false">IF($M80=0,"",MAX(0,$C80-($N80+$O80+$P80)))</f>
        <v/>
      </c>
      <c r="J80" s="16" t="n">
        <f aca="false">IF($M80=0,0,MAX(0,$C80-($N80+$O80+$P80))*IF($Q80=1,Rates!$B$7,Rates!$B$6)+$N80*Rates!$B$8+$O80*Rates!$B$9+$P80*Rates!$B$10)</f>
        <v>0</v>
      </c>
      <c r="K80" s="16" t="n">
        <f aca="false">IF($M80=0,0,MAX(0,$C80-($N80+$O80+$P80))*IF($Q80=1,Rates!$C$7,Rates!$C$6)+$N80*Rates!$C$8+$O80*Rates!$C$9+$P80*Rates!$C$10)</f>
        <v>0</v>
      </c>
      <c r="M80" s="3" t="n">
        <f aca="false">IFERROR(MATCH($B80,Rates!$A$27:$A$35,0),0)</f>
        <v>0</v>
      </c>
      <c r="N80" s="3" t="n">
        <f aca="false">IF($M80=0,0,IF(AND(INDEX(Rates!$C$27:$C$35,$M80)=1,$D80&gt;=Rates!$B$22),$D80,0))</f>
        <v>0</v>
      </c>
      <c r="O80" s="3" t="n">
        <f aca="false">IF($M80=0,0,IF(AND(INDEX(Rates!$D$27:$D$35,$M80)=1,$E80&gt;=Rates!$B$22),$E80,0))</f>
        <v>0</v>
      </c>
      <c r="P80" s="3" t="n">
        <f aca="false">IF($M80=0,0,IF(AND(INDEX(Rates!$E$27:$E$35,$M80)=1,$F80&gt;=Rates!$B$22),$F80,0))</f>
        <v>0</v>
      </c>
      <c r="Q80" s="3" t="n">
        <f aca="false">IF($M80=0,0,IF(AND(INDEX(Rates!$B$27:$B$35,$M80)=1,$C80&lt;Rates!$B$23),1,0))</f>
        <v>0</v>
      </c>
    </row>
    <row r="81" customFormat="false" ht="15" hidden="false" customHeight="false" outlineLevel="0" collapsed="false">
      <c r="A81" s="14"/>
      <c r="B81" s="14"/>
      <c r="C81" s="14"/>
      <c r="D81" s="14"/>
      <c r="E81" s="14"/>
      <c r="F81" s="14"/>
      <c r="G81" s="15" t="str">
        <f aca="false">IF($B81="","",IF($M81=0,"✗ unknown species",IF($N81+$O81+$P81&gt;$C81,"✗ allocated more than fish weight",IF($D81+$E81+$F81&gt;$N81+$O81+$P81,"✗ some value-added not applied — 15 lb min per fish / species not eligible — bills as fillet",IF(AND(INDEX(Rates!$B$27:$B$35,$M81)=1,$C81&gt;=Rates!$B$24,$C81&lt;=Rates!$C$24),"~ borderline 10–14 lb — tier may flip at the scale","✓")))))</f>
        <v/>
      </c>
      <c r="H81" s="15" t="str">
        <f aca="false">IF($B81="","",IF($Q81=1,"under-12",""))</f>
        <v/>
      </c>
      <c r="I81" s="15" t="str">
        <f aca="false">IF($M81=0,"",MAX(0,$C81-($N81+$O81+$P81)))</f>
        <v/>
      </c>
      <c r="J81" s="16" t="n">
        <f aca="false">IF($M81=0,0,MAX(0,$C81-($N81+$O81+$P81))*IF($Q81=1,Rates!$B$7,Rates!$B$6)+$N81*Rates!$B$8+$O81*Rates!$B$9+$P81*Rates!$B$10)</f>
        <v>0</v>
      </c>
      <c r="K81" s="16" t="n">
        <f aca="false">IF($M81=0,0,MAX(0,$C81-($N81+$O81+$P81))*IF($Q81=1,Rates!$C$7,Rates!$C$6)+$N81*Rates!$C$8+$O81*Rates!$C$9+$P81*Rates!$C$10)</f>
        <v>0</v>
      </c>
      <c r="M81" s="3" t="n">
        <f aca="false">IFERROR(MATCH($B81,Rates!$A$27:$A$35,0),0)</f>
        <v>0</v>
      </c>
      <c r="N81" s="3" t="n">
        <f aca="false">IF($M81=0,0,IF(AND(INDEX(Rates!$C$27:$C$35,$M81)=1,$D81&gt;=Rates!$B$22),$D81,0))</f>
        <v>0</v>
      </c>
      <c r="O81" s="3" t="n">
        <f aca="false">IF($M81=0,0,IF(AND(INDEX(Rates!$D$27:$D$35,$M81)=1,$E81&gt;=Rates!$B$22),$E81,0))</f>
        <v>0</v>
      </c>
      <c r="P81" s="3" t="n">
        <f aca="false">IF($M81=0,0,IF(AND(INDEX(Rates!$E$27:$E$35,$M81)=1,$F81&gt;=Rates!$B$22),$F81,0))</f>
        <v>0</v>
      </c>
      <c r="Q81" s="3" t="n">
        <f aca="false">IF($M81=0,0,IF(AND(INDEX(Rates!$B$27:$B$35,$M81)=1,$C81&lt;Rates!$B$23),1,0))</f>
        <v>0</v>
      </c>
    </row>
    <row r="82" customFormat="false" ht="15" hidden="false" customHeight="false" outlineLevel="0" collapsed="false">
      <c r="A82" s="14"/>
      <c r="B82" s="14"/>
      <c r="C82" s="14"/>
      <c r="D82" s="14"/>
      <c r="E82" s="14"/>
      <c r="F82" s="14"/>
      <c r="G82" s="15" t="str">
        <f aca="false">IF($B82="","",IF($M82=0,"✗ unknown species",IF($N82+$O82+$P82&gt;$C82,"✗ allocated more than fish weight",IF($D82+$E82+$F82&gt;$N82+$O82+$P82,"✗ some value-added not applied — 15 lb min per fish / species not eligible — bills as fillet",IF(AND(INDEX(Rates!$B$27:$B$35,$M82)=1,$C82&gt;=Rates!$B$24,$C82&lt;=Rates!$C$24),"~ borderline 10–14 lb — tier may flip at the scale","✓")))))</f>
        <v/>
      </c>
      <c r="H82" s="15" t="str">
        <f aca="false">IF($B82="","",IF($Q82=1,"under-12",""))</f>
        <v/>
      </c>
      <c r="I82" s="15" t="str">
        <f aca="false">IF($M82=0,"",MAX(0,$C82-($N82+$O82+$P82)))</f>
        <v/>
      </c>
      <c r="J82" s="16" t="n">
        <f aca="false">IF($M82=0,0,MAX(0,$C82-($N82+$O82+$P82))*IF($Q82=1,Rates!$B$7,Rates!$B$6)+$N82*Rates!$B$8+$O82*Rates!$B$9+$P82*Rates!$B$10)</f>
        <v>0</v>
      </c>
      <c r="K82" s="16" t="n">
        <f aca="false">IF($M82=0,0,MAX(0,$C82-($N82+$O82+$P82))*IF($Q82=1,Rates!$C$7,Rates!$C$6)+$N82*Rates!$C$8+$O82*Rates!$C$9+$P82*Rates!$C$10)</f>
        <v>0</v>
      </c>
      <c r="M82" s="3" t="n">
        <f aca="false">IFERROR(MATCH($B82,Rates!$A$27:$A$35,0),0)</f>
        <v>0</v>
      </c>
      <c r="N82" s="3" t="n">
        <f aca="false">IF($M82=0,0,IF(AND(INDEX(Rates!$C$27:$C$35,$M82)=1,$D82&gt;=Rates!$B$22),$D82,0))</f>
        <v>0</v>
      </c>
      <c r="O82" s="3" t="n">
        <f aca="false">IF($M82=0,0,IF(AND(INDEX(Rates!$D$27:$D$35,$M82)=1,$E82&gt;=Rates!$B$22),$E82,0))</f>
        <v>0</v>
      </c>
      <c r="P82" s="3" t="n">
        <f aca="false">IF($M82=0,0,IF(AND(INDEX(Rates!$E$27:$E$35,$M82)=1,$F82&gt;=Rates!$B$22),$F82,0))</f>
        <v>0</v>
      </c>
      <c r="Q82" s="3" t="n">
        <f aca="false">IF($M82=0,0,IF(AND(INDEX(Rates!$B$27:$B$35,$M82)=1,$C82&lt;Rates!$B$23),1,0))</f>
        <v>0</v>
      </c>
    </row>
    <row r="83" customFormat="false" ht="15" hidden="false" customHeight="false" outlineLevel="0" collapsed="false">
      <c r="A83" s="14"/>
      <c r="B83" s="14"/>
      <c r="C83" s="14"/>
      <c r="D83" s="14"/>
      <c r="E83" s="14"/>
      <c r="F83" s="14"/>
      <c r="G83" s="15" t="str">
        <f aca="false">IF($B83="","",IF($M83=0,"✗ unknown species",IF($N83+$O83+$P83&gt;$C83,"✗ allocated more than fish weight",IF($D83+$E83+$F83&gt;$N83+$O83+$P83,"✗ some value-added not applied — 15 lb min per fish / species not eligible — bills as fillet",IF(AND(INDEX(Rates!$B$27:$B$35,$M83)=1,$C83&gt;=Rates!$B$24,$C83&lt;=Rates!$C$24),"~ borderline 10–14 lb — tier may flip at the scale","✓")))))</f>
        <v/>
      </c>
      <c r="H83" s="15" t="str">
        <f aca="false">IF($B83="","",IF($Q83=1,"under-12",""))</f>
        <v/>
      </c>
      <c r="I83" s="15" t="str">
        <f aca="false">IF($M83=0,"",MAX(0,$C83-($N83+$O83+$P83)))</f>
        <v/>
      </c>
      <c r="J83" s="16" t="n">
        <f aca="false">IF($M83=0,0,MAX(0,$C83-($N83+$O83+$P83))*IF($Q83=1,Rates!$B$7,Rates!$B$6)+$N83*Rates!$B$8+$O83*Rates!$B$9+$P83*Rates!$B$10)</f>
        <v>0</v>
      </c>
      <c r="K83" s="16" t="n">
        <f aca="false">IF($M83=0,0,MAX(0,$C83-($N83+$O83+$P83))*IF($Q83=1,Rates!$C$7,Rates!$C$6)+$N83*Rates!$C$8+$O83*Rates!$C$9+$P83*Rates!$C$10)</f>
        <v>0</v>
      </c>
      <c r="M83" s="3" t="n">
        <f aca="false">IFERROR(MATCH($B83,Rates!$A$27:$A$35,0),0)</f>
        <v>0</v>
      </c>
      <c r="N83" s="3" t="n">
        <f aca="false">IF($M83=0,0,IF(AND(INDEX(Rates!$C$27:$C$35,$M83)=1,$D83&gt;=Rates!$B$22),$D83,0))</f>
        <v>0</v>
      </c>
      <c r="O83" s="3" t="n">
        <f aca="false">IF($M83=0,0,IF(AND(INDEX(Rates!$D$27:$D$35,$M83)=1,$E83&gt;=Rates!$B$22),$E83,0))</f>
        <v>0</v>
      </c>
      <c r="P83" s="3" t="n">
        <f aca="false">IF($M83=0,0,IF(AND(INDEX(Rates!$E$27:$E$35,$M83)=1,$F83&gt;=Rates!$B$22),$F83,0))</f>
        <v>0</v>
      </c>
      <c r="Q83" s="3" t="n">
        <f aca="false">IF($M83=0,0,IF(AND(INDEX(Rates!$B$27:$B$35,$M83)=1,$C83&lt;Rates!$B$23),1,0))</f>
        <v>0</v>
      </c>
    </row>
    <row r="84" customFormat="false" ht="15" hidden="false" customHeight="false" outlineLevel="0" collapsed="false">
      <c r="A84" s="14"/>
      <c r="B84" s="14"/>
      <c r="C84" s="14"/>
      <c r="D84" s="14"/>
      <c r="E84" s="14"/>
      <c r="F84" s="14"/>
      <c r="G84" s="15" t="str">
        <f aca="false">IF($B84="","",IF($M84=0,"✗ unknown species",IF($N84+$O84+$P84&gt;$C84,"✗ allocated more than fish weight",IF($D84+$E84+$F84&gt;$N84+$O84+$P84,"✗ some value-added not applied — 15 lb min per fish / species not eligible — bills as fillet",IF(AND(INDEX(Rates!$B$27:$B$35,$M84)=1,$C84&gt;=Rates!$B$24,$C84&lt;=Rates!$C$24),"~ borderline 10–14 lb — tier may flip at the scale","✓")))))</f>
        <v/>
      </c>
      <c r="H84" s="15" t="str">
        <f aca="false">IF($B84="","",IF($Q84=1,"under-12",""))</f>
        <v/>
      </c>
      <c r="I84" s="15" t="str">
        <f aca="false">IF($M84=0,"",MAX(0,$C84-($N84+$O84+$P84)))</f>
        <v/>
      </c>
      <c r="J84" s="16" t="n">
        <f aca="false">IF($M84=0,0,MAX(0,$C84-($N84+$O84+$P84))*IF($Q84=1,Rates!$B$7,Rates!$B$6)+$N84*Rates!$B$8+$O84*Rates!$B$9+$P84*Rates!$B$10)</f>
        <v>0</v>
      </c>
      <c r="K84" s="16" t="n">
        <f aca="false">IF($M84=0,0,MAX(0,$C84-($N84+$O84+$P84))*IF($Q84=1,Rates!$C$7,Rates!$C$6)+$N84*Rates!$C$8+$O84*Rates!$C$9+$P84*Rates!$C$10)</f>
        <v>0</v>
      </c>
      <c r="M84" s="3" t="n">
        <f aca="false">IFERROR(MATCH($B84,Rates!$A$27:$A$35,0),0)</f>
        <v>0</v>
      </c>
      <c r="N84" s="3" t="n">
        <f aca="false">IF($M84=0,0,IF(AND(INDEX(Rates!$C$27:$C$35,$M84)=1,$D84&gt;=Rates!$B$22),$D84,0))</f>
        <v>0</v>
      </c>
      <c r="O84" s="3" t="n">
        <f aca="false">IF($M84=0,0,IF(AND(INDEX(Rates!$D$27:$D$35,$M84)=1,$E84&gt;=Rates!$B$22),$E84,0))</f>
        <v>0</v>
      </c>
      <c r="P84" s="3" t="n">
        <f aca="false">IF($M84=0,0,IF(AND(INDEX(Rates!$E$27:$E$35,$M84)=1,$F84&gt;=Rates!$B$22),$F84,0))</f>
        <v>0</v>
      </c>
      <c r="Q84" s="3" t="n">
        <f aca="false">IF($M84=0,0,IF(AND(INDEX(Rates!$B$27:$B$35,$M84)=1,$C84&lt;Rates!$B$23),1,0))</f>
        <v>0</v>
      </c>
    </row>
    <row r="85" customFormat="false" ht="15" hidden="false" customHeight="false" outlineLevel="0" collapsed="false">
      <c r="A85" s="14"/>
      <c r="B85" s="14"/>
      <c r="C85" s="14"/>
      <c r="D85" s="14"/>
      <c r="E85" s="14"/>
      <c r="F85" s="14"/>
      <c r="G85" s="15" t="str">
        <f aca="false">IF($B85="","",IF($M85=0,"✗ unknown species",IF($N85+$O85+$P85&gt;$C85,"✗ allocated more than fish weight",IF($D85+$E85+$F85&gt;$N85+$O85+$P85,"✗ some value-added not applied — 15 lb min per fish / species not eligible — bills as fillet",IF(AND(INDEX(Rates!$B$27:$B$35,$M85)=1,$C85&gt;=Rates!$B$24,$C85&lt;=Rates!$C$24),"~ borderline 10–14 lb — tier may flip at the scale","✓")))))</f>
        <v/>
      </c>
      <c r="H85" s="15" t="str">
        <f aca="false">IF($B85="","",IF($Q85=1,"under-12",""))</f>
        <v/>
      </c>
      <c r="I85" s="15" t="str">
        <f aca="false">IF($M85=0,"",MAX(0,$C85-($N85+$O85+$P85)))</f>
        <v/>
      </c>
      <c r="J85" s="16" t="n">
        <f aca="false">IF($M85=0,0,MAX(0,$C85-($N85+$O85+$P85))*IF($Q85=1,Rates!$B$7,Rates!$B$6)+$N85*Rates!$B$8+$O85*Rates!$B$9+$P85*Rates!$B$10)</f>
        <v>0</v>
      </c>
      <c r="K85" s="16" t="n">
        <f aca="false">IF($M85=0,0,MAX(0,$C85-($N85+$O85+$P85))*IF($Q85=1,Rates!$C$7,Rates!$C$6)+$N85*Rates!$C$8+$O85*Rates!$C$9+$P85*Rates!$C$10)</f>
        <v>0</v>
      </c>
      <c r="M85" s="3" t="n">
        <f aca="false">IFERROR(MATCH($B85,Rates!$A$27:$A$35,0),0)</f>
        <v>0</v>
      </c>
      <c r="N85" s="3" t="n">
        <f aca="false">IF($M85=0,0,IF(AND(INDEX(Rates!$C$27:$C$35,$M85)=1,$D85&gt;=Rates!$B$22),$D85,0))</f>
        <v>0</v>
      </c>
      <c r="O85" s="3" t="n">
        <f aca="false">IF($M85=0,0,IF(AND(INDEX(Rates!$D$27:$D$35,$M85)=1,$E85&gt;=Rates!$B$22),$E85,0))</f>
        <v>0</v>
      </c>
      <c r="P85" s="3" t="n">
        <f aca="false">IF($M85=0,0,IF(AND(INDEX(Rates!$E$27:$E$35,$M85)=1,$F85&gt;=Rates!$B$22),$F85,0))</f>
        <v>0</v>
      </c>
      <c r="Q85" s="3" t="n">
        <f aca="false">IF($M85=0,0,IF(AND(INDEX(Rates!$B$27:$B$35,$M85)=1,$C85&lt;Rates!$B$23),1,0))</f>
        <v>0</v>
      </c>
    </row>
    <row r="86" customFormat="false" ht="15" hidden="false" customHeight="false" outlineLevel="0" collapsed="false">
      <c r="A86" s="14"/>
      <c r="B86" s="14"/>
      <c r="C86" s="14"/>
      <c r="D86" s="14"/>
      <c r="E86" s="14"/>
      <c r="F86" s="14"/>
      <c r="G86" s="15" t="str">
        <f aca="false">IF($B86="","",IF($M86=0,"✗ unknown species",IF($N86+$O86+$P86&gt;$C86,"✗ allocated more than fish weight",IF($D86+$E86+$F86&gt;$N86+$O86+$P86,"✗ some value-added not applied — 15 lb min per fish / species not eligible — bills as fillet",IF(AND(INDEX(Rates!$B$27:$B$35,$M86)=1,$C86&gt;=Rates!$B$24,$C86&lt;=Rates!$C$24),"~ borderline 10–14 lb — tier may flip at the scale","✓")))))</f>
        <v/>
      </c>
      <c r="H86" s="15" t="str">
        <f aca="false">IF($B86="","",IF($Q86=1,"under-12",""))</f>
        <v/>
      </c>
      <c r="I86" s="15" t="str">
        <f aca="false">IF($M86=0,"",MAX(0,$C86-($N86+$O86+$P86)))</f>
        <v/>
      </c>
      <c r="J86" s="16" t="n">
        <f aca="false">IF($M86=0,0,MAX(0,$C86-($N86+$O86+$P86))*IF($Q86=1,Rates!$B$7,Rates!$B$6)+$N86*Rates!$B$8+$O86*Rates!$B$9+$P86*Rates!$B$10)</f>
        <v>0</v>
      </c>
      <c r="K86" s="16" t="n">
        <f aca="false">IF($M86=0,0,MAX(0,$C86-($N86+$O86+$P86))*IF($Q86=1,Rates!$C$7,Rates!$C$6)+$N86*Rates!$C$8+$O86*Rates!$C$9+$P86*Rates!$C$10)</f>
        <v>0</v>
      </c>
      <c r="M86" s="3" t="n">
        <f aca="false">IFERROR(MATCH($B86,Rates!$A$27:$A$35,0),0)</f>
        <v>0</v>
      </c>
      <c r="N86" s="3" t="n">
        <f aca="false">IF($M86=0,0,IF(AND(INDEX(Rates!$C$27:$C$35,$M86)=1,$D86&gt;=Rates!$B$22),$D86,0))</f>
        <v>0</v>
      </c>
      <c r="O86" s="3" t="n">
        <f aca="false">IF($M86=0,0,IF(AND(INDEX(Rates!$D$27:$D$35,$M86)=1,$E86&gt;=Rates!$B$22),$E86,0))</f>
        <v>0</v>
      </c>
      <c r="P86" s="3" t="n">
        <f aca="false">IF($M86=0,0,IF(AND(INDEX(Rates!$E$27:$E$35,$M86)=1,$F86&gt;=Rates!$B$22),$F86,0))</f>
        <v>0</v>
      </c>
      <c r="Q86" s="3" t="n">
        <f aca="false">IF($M86=0,0,IF(AND(INDEX(Rates!$B$27:$B$35,$M86)=1,$C86&lt;Rates!$B$23),1,0))</f>
        <v>0</v>
      </c>
    </row>
    <row r="87" customFormat="false" ht="15" hidden="false" customHeight="false" outlineLevel="0" collapsed="false">
      <c r="A87" s="14"/>
      <c r="B87" s="14"/>
      <c r="C87" s="14"/>
      <c r="D87" s="14"/>
      <c r="E87" s="14"/>
      <c r="F87" s="14"/>
      <c r="G87" s="15" t="str">
        <f aca="false">IF($B87="","",IF($M87=0,"✗ unknown species",IF($N87+$O87+$P87&gt;$C87,"✗ allocated more than fish weight",IF($D87+$E87+$F87&gt;$N87+$O87+$P87,"✗ some value-added not applied — 15 lb min per fish / species not eligible — bills as fillet",IF(AND(INDEX(Rates!$B$27:$B$35,$M87)=1,$C87&gt;=Rates!$B$24,$C87&lt;=Rates!$C$24),"~ borderline 10–14 lb — tier may flip at the scale","✓")))))</f>
        <v/>
      </c>
      <c r="H87" s="15" t="str">
        <f aca="false">IF($B87="","",IF($Q87=1,"under-12",""))</f>
        <v/>
      </c>
      <c r="I87" s="15" t="str">
        <f aca="false">IF($M87=0,"",MAX(0,$C87-($N87+$O87+$P87)))</f>
        <v/>
      </c>
      <c r="J87" s="16" t="n">
        <f aca="false">IF($M87=0,0,MAX(0,$C87-($N87+$O87+$P87))*IF($Q87=1,Rates!$B$7,Rates!$B$6)+$N87*Rates!$B$8+$O87*Rates!$B$9+$P87*Rates!$B$10)</f>
        <v>0</v>
      </c>
      <c r="K87" s="16" t="n">
        <f aca="false">IF($M87=0,0,MAX(0,$C87-($N87+$O87+$P87))*IF($Q87=1,Rates!$C$7,Rates!$C$6)+$N87*Rates!$C$8+$O87*Rates!$C$9+$P87*Rates!$C$10)</f>
        <v>0</v>
      </c>
      <c r="M87" s="3" t="n">
        <f aca="false">IFERROR(MATCH($B87,Rates!$A$27:$A$35,0),0)</f>
        <v>0</v>
      </c>
      <c r="N87" s="3" t="n">
        <f aca="false">IF($M87=0,0,IF(AND(INDEX(Rates!$C$27:$C$35,$M87)=1,$D87&gt;=Rates!$B$22),$D87,0))</f>
        <v>0</v>
      </c>
      <c r="O87" s="3" t="n">
        <f aca="false">IF($M87=0,0,IF(AND(INDEX(Rates!$D$27:$D$35,$M87)=1,$E87&gt;=Rates!$B$22),$E87,0))</f>
        <v>0</v>
      </c>
      <c r="P87" s="3" t="n">
        <f aca="false">IF($M87=0,0,IF(AND(INDEX(Rates!$E$27:$E$35,$M87)=1,$F87&gt;=Rates!$B$22),$F87,0))</f>
        <v>0</v>
      </c>
      <c r="Q87" s="3" t="n">
        <f aca="false">IF($M87=0,0,IF(AND(INDEX(Rates!$B$27:$B$35,$M87)=1,$C87&lt;Rates!$B$23),1,0))</f>
        <v>0</v>
      </c>
    </row>
    <row r="88" customFormat="false" ht="15" hidden="false" customHeight="false" outlineLevel="0" collapsed="false">
      <c r="A88" s="14"/>
      <c r="B88" s="14"/>
      <c r="C88" s="14"/>
      <c r="D88" s="14"/>
      <c r="E88" s="14"/>
      <c r="F88" s="14"/>
      <c r="G88" s="15" t="str">
        <f aca="false">IF($B88="","",IF($M88=0,"✗ unknown species",IF($N88+$O88+$P88&gt;$C88,"✗ allocated more than fish weight",IF($D88+$E88+$F88&gt;$N88+$O88+$P88,"✗ some value-added not applied — 15 lb min per fish / species not eligible — bills as fillet",IF(AND(INDEX(Rates!$B$27:$B$35,$M88)=1,$C88&gt;=Rates!$B$24,$C88&lt;=Rates!$C$24),"~ borderline 10–14 lb — tier may flip at the scale","✓")))))</f>
        <v/>
      </c>
      <c r="H88" s="15" t="str">
        <f aca="false">IF($B88="","",IF($Q88=1,"under-12",""))</f>
        <v/>
      </c>
      <c r="I88" s="15" t="str">
        <f aca="false">IF($M88=0,"",MAX(0,$C88-($N88+$O88+$P88)))</f>
        <v/>
      </c>
      <c r="J88" s="16" t="n">
        <f aca="false">IF($M88=0,0,MAX(0,$C88-($N88+$O88+$P88))*IF($Q88=1,Rates!$B$7,Rates!$B$6)+$N88*Rates!$B$8+$O88*Rates!$B$9+$P88*Rates!$B$10)</f>
        <v>0</v>
      </c>
      <c r="K88" s="16" t="n">
        <f aca="false">IF($M88=0,0,MAX(0,$C88-($N88+$O88+$P88))*IF($Q88=1,Rates!$C$7,Rates!$C$6)+$N88*Rates!$C$8+$O88*Rates!$C$9+$P88*Rates!$C$10)</f>
        <v>0</v>
      </c>
      <c r="M88" s="3" t="n">
        <f aca="false">IFERROR(MATCH($B88,Rates!$A$27:$A$35,0),0)</f>
        <v>0</v>
      </c>
      <c r="N88" s="3" t="n">
        <f aca="false">IF($M88=0,0,IF(AND(INDEX(Rates!$C$27:$C$35,$M88)=1,$D88&gt;=Rates!$B$22),$D88,0))</f>
        <v>0</v>
      </c>
      <c r="O88" s="3" t="n">
        <f aca="false">IF($M88=0,0,IF(AND(INDEX(Rates!$D$27:$D$35,$M88)=1,$E88&gt;=Rates!$B$22),$E88,0))</f>
        <v>0</v>
      </c>
      <c r="P88" s="3" t="n">
        <f aca="false">IF($M88=0,0,IF(AND(INDEX(Rates!$E$27:$E$35,$M88)=1,$F88&gt;=Rates!$B$22),$F88,0))</f>
        <v>0</v>
      </c>
      <c r="Q88" s="3" t="n">
        <f aca="false">IF($M88=0,0,IF(AND(INDEX(Rates!$B$27:$B$35,$M88)=1,$C88&lt;Rates!$B$23),1,0))</f>
        <v>0</v>
      </c>
    </row>
    <row r="89" customFormat="false" ht="15" hidden="false" customHeight="false" outlineLevel="0" collapsed="false">
      <c r="A89" s="14"/>
      <c r="B89" s="14"/>
      <c r="C89" s="14"/>
      <c r="D89" s="14"/>
      <c r="E89" s="14"/>
      <c r="F89" s="14"/>
      <c r="G89" s="15" t="str">
        <f aca="false">IF($B89="","",IF($M89=0,"✗ unknown species",IF($N89+$O89+$P89&gt;$C89,"✗ allocated more than fish weight",IF($D89+$E89+$F89&gt;$N89+$O89+$P89,"✗ some value-added not applied — 15 lb min per fish / species not eligible — bills as fillet",IF(AND(INDEX(Rates!$B$27:$B$35,$M89)=1,$C89&gt;=Rates!$B$24,$C89&lt;=Rates!$C$24),"~ borderline 10–14 lb — tier may flip at the scale","✓")))))</f>
        <v/>
      </c>
      <c r="H89" s="15" t="str">
        <f aca="false">IF($B89="","",IF($Q89=1,"under-12",""))</f>
        <v/>
      </c>
      <c r="I89" s="15" t="str">
        <f aca="false">IF($M89=0,"",MAX(0,$C89-($N89+$O89+$P89)))</f>
        <v/>
      </c>
      <c r="J89" s="16" t="n">
        <f aca="false">IF($M89=0,0,MAX(0,$C89-($N89+$O89+$P89))*IF($Q89=1,Rates!$B$7,Rates!$B$6)+$N89*Rates!$B$8+$O89*Rates!$B$9+$P89*Rates!$B$10)</f>
        <v>0</v>
      </c>
      <c r="K89" s="16" t="n">
        <f aca="false">IF($M89=0,0,MAX(0,$C89-($N89+$O89+$P89))*IF($Q89=1,Rates!$C$7,Rates!$C$6)+$N89*Rates!$C$8+$O89*Rates!$C$9+$P89*Rates!$C$10)</f>
        <v>0</v>
      </c>
      <c r="M89" s="3" t="n">
        <f aca="false">IFERROR(MATCH($B89,Rates!$A$27:$A$35,0),0)</f>
        <v>0</v>
      </c>
      <c r="N89" s="3" t="n">
        <f aca="false">IF($M89=0,0,IF(AND(INDEX(Rates!$C$27:$C$35,$M89)=1,$D89&gt;=Rates!$B$22),$D89,0))</f>
        <v>0</v>
      </c>
      <c r="O89" s="3" t="n">
        <f aca="false">IF($M89=0,0,IF(AND(INDEX(Rates!$D$27:$D$35,$M89)=1,$E89&gt;=Rates!$B$22),$E89,0))</f>
        <v>0</v>
      </c>
      <c r="P89" s="3" t="n">
        <f aca="false">IF($M89=0,0,IF(AND(INDEX(Rates!$E$27:$E$35,$M89)=1,$F89&gt;=Rates!$B$22),$F89,0))</f>
        <v>0</v>
      </c>
      <c r="Q89" s="3" t="n">
        <f aca="false">IF($M89=0,0,IF(AND(INDEX(Rates!$B$27:$B$35,$M89)=1,$C89&lt;Rates!$B$23),1,0))</f>
        <v>0</v>
      </c>
    </row>
    <row r="90" customFormat="false" ht="15" hidden="false" customHeight="false" outlineLevel="0" collapsed="false">
      <c r="A90" s="14"/>
      <c r="B90" s="14"/>
      <c r="C90" s="14"/>
      <c r="D90" s="14"/>
      <c r="E90" s="14"/>
      <c r="F90" s="14"/>
      <c r="G90" s="15" t="str">
        <f aca="false">IF($B90="","",IF($M90=0,"✗ unknown species",IF($N90+$O90+$P90&gt;$C90,"✗ allocated more than fish weight",IF($D90+$E90+$F90&gt;$N90+$O90+$P90,"✗ some value-added not applied — 15 lb min per fish / species not eligible — bills as fillet",IF(AND(INDEX(Rates!$B$27:$B$35,$M90)=1,$C90&gt;=Rates!$B$24,$C90&lt;=Rates!$C$24),"~ borderline 10–14 lb — tier may flip at the scale","✓")))))</f>
        <v/>
      </c>
      <c r="H90" s="15" t="str">
        <f aca="false">IF($B90="","",IF($Q90=1,"under-12",""))</f>
        <v/>
      </c>
      <c r="I90" s="15" t="str">
        <f aca="false">IF($M90=0,"",MAX(0,$C90-($N90+$O90+$P90)))</f>
        <v/>
      </c>
      <c r="J90" s="16" t="n">
        <f aca="false">IF($M90=0,0,MAX(0,$C90-($N90+$O90+$P90))*IF($Q90=1,Rates!$B$7,Rates!$B$6)+$N90*Rates!$B$8+$O90*Rates!$B$9+$P90*Rates!$B$10)</f>
        <v>0</v>
      </c>
      <c r="K90" s="16" t="n">
        <f aca="false">IF($M90=0,0,MAX(0,$C90-($N90+$O90+$P90))*IF($Q90=1,Rates!$C$7,Rates!$C$6)+$N90*Rates!$C$8+$O90*Rates!$C$9+$P90*Rates!$C$10)</f>
        <v>0</v>
      </c>
      <c r="M90" s="3" t="n">
        <f aca="false">IFERROR(MATCH($B90,Rates!$A$27:$A$35,0),0)</f>
        <v>0</v>
      </c>
      <c r="N90" s="3" t="n">
        <f aca="false">IF($M90=0,0,IF(AND(INDEX(Rates!$C$27:$C$35,$M90)=1,$D90&gt;=Rates!$B$22),$D90,0))</f>
        <v>0</v>
      </c>
      <c r="O90" s="3" t="n">
        <f aca="false">IF($M90=0,0,IF(AND(INDEX(Rates!$D$27:$D$35,$M90)=1,$E90&gt;=Rates!$B$22),$E90,0))</f>
        <v>0</v>
      </c>
      <c r="P90" s="3" t="n">
        <f aca="false">IF($M90=0,0,IF(AND(INDEX(Rates!$E$27:$E$35,$M90)=1,$F90&gt;=Rates!$B$22),$F90,0))</f>
        <v>0</v>
      </c>
      <c r="Q90" s="3" t="n">
        <f aca="false">IF($M90=0,0,IF(AND(INDEX(Rates!$B$27:$B$35,$M90)=1,$C90&lt;Rates!$B$23),1,0))</f>
        <v>0</v>
      </c>
    </row>
    <row r="91" customFormat="false" ht="15" hidden="false" customHeight="false" outlineLevel="0" collapsed="false">
      <c r="A91" s="14"/>
      <c r="B91" s="14"/>
      <c r="C91" s="14"/>
      <c r="D91" s="14"/>
      <c r="E91" s="14"/>
      <c r="F91" s="14"/>
      <c r="G91" s="15" t="str">
        <f aca="false">IF($B91="","",IF($M91=0,"✗ unknown species",IF($N91+$O91+$P91&gt;$C91,"✗ allocated more than fish weight",IF($D91+$E91+$F91&gt;$N91+$O91+$P91,"✗ some value-added not applied — 15 lb min per fish / species not eligible — bills as fillet",IF(AND(INDEX(Rates!$B$27:$B$35,$M91)=1,$C91&gt;=Rates!$B$24,$C91&lt;=Rates!$C$24),"~ borderline 10–14 lb — tier may flip at the scale","✓")))))</f>
        <v/>
      </c>
      <c r="H91" s="15" t="str">
        <f aca="false">IF($B91="","",IF($Q91=1,"under-12",""))</f>
        <v/>
      </c>
      <c r="I91" s="15" t="str">
        <f aca="false">IF($M91=0,"",MAX(0,$C91-($N91+$O91+$P91)))</f>
        <v/>
      </c>
      <c r="J91" s="16" t="n">
        <f aca="false">IF($M91=0,0,MAX(0,$C91-($N91+$O91+$P91))*IF($Q91=1,Rates!$B$7,Rates!$B$6)+$N91*Rates!$B$8+$O91*Rates!$B$9+$P91*Rates!$B$10)</f>
        <v>0</v>
      </c>
      <c r="K91" s="16" t="n">
        <f aca="false">IF($M91=0,0,MAX(0,$C91-($N91+$O91+$P91))*IF($Q91=1,Rates!$C$7,Rates!$C$6)+$N91*Rates!$C$8+$O91*Rates!$C$9+$P91*Rates!$C$10)</f>
        <v>0</v>
      </c>
      <c r="M91" s="3" t="n">
        <f aca="false">IFERROR(MATCH($B91,Rates!$A$27:$A$35,0),0)</f>
        <v>0</v>
      </c>
      <c r="N91" s="3" t="n">
        <f aca="false">IF($M91=0,0,IF(AND(INDEX(Rates!$C$27:$C$35,$M91)=1,$D91&gt;=Rates!$B$22),$D91,0))</f>
        <v>0</v>
      </c>
      <c r="O91" s="3" t="n">
        <f aca="false">IF($M91=0,0,IF(AND(INDEX(Rates!$D$27:$D$35,$M91)=1,$E91&gt;=Rates!$B$22),$E91,0))</f>
        <v>0</v>
      </c>
      <c r="P91" s="3" t="n">
        <f aca="false">IF($M91=0,0,IF(AND(INDEX(Rates!$E$27:$E$35,$M91)=1,$F91&gt;=Rates!$B$22),$F91,0))</f>
        <v>0</v>
      </c>
      <c r="Q91" s="3" t="n">
        <f aca="false">IF($M91=0,0,IF(AND(INDEX(Rates!$B$27:$B$35,$M91)=1,$C91&lt;Rates!$B$23),1,0))</f>
        <v>0</v>
      </c>
    </row>
    <row r="92" customFormat="false" ht="15" hidden="false" customHeight="false" outlineLevel="0" collapsed="false">
      <c r="A92" s="14"/>
      <c r="B92" s="14"/>
      <c r="C92" s="14"/>
      <c r="D92" s="14"/>
      <c r="E92" s="14"/>
      <c r="F92" s="14"/>
      <c r="G92" s="15" t="str">
        <f aca="false">IF($B92="","",IF($M92=0,"✗ unknown species",IF($N92+$O92+$P92&gt;$C92,"✗ allocated more than fish weight",IF($D92+$E92+$F92&gt;$N92+$O92+$P92,"✗ some value-added not applied — 15 lb min per fish / species not eligible — bills as fillet",IF(AND(INDEX(Rates!$B$27:$B$35,$M92)=1,$C92&gt;=Rates!$B$24,$C92&lt;=Rates!$C$24),"~ borderline 10–14 lb — tier may flip at the scale","✓")))))</f>
        <v/>
      </c>
      <c r="H92" s="15" t="str">
        <f aca="false">IF($B92="","",IF($Q92=1,"under-12",""))</f>
        <v/>
      </c>
      <c r="I92" s="15" t="str">
        <f aca="false">IF($M92=0,"",MAX(0,$C92-($N92+$O92+$P92)))</f>
        <v/>
      </c>
      <c r="J92" s="16" t="n">
        <f aca="false">IF($M92=0,0,MAX(0,$C92-($N92+$O92+$P92))*IF($Q92=1,Rates!$B$7,Rates!$B$6)+$N92*Rates!$B$8+$O92*Rates!$B$9+$P92*Rates!$B$10)</f>
        <v>0</v>
      </c>
      <c r="K92" s="16" t="n">
        <f aca="false">IF($M92=0,0,MAX(0,$C92-($N92+$O92+$P92))*IF($Q92=1,Rates!$C$7,Rates!$C$6)+$N92*Rates!$C$8+$O92*Rates!$C$9+$P92*Rates!$C$10)</f>
        <v>0</v>
      </c>
      <c r="M92" s="3" t="n">
        <f aca="false">IFERROR(MATCH($B92,Rates!$A$27:$A$35,0),0)</f>
        <v>0</v>
      </c>
      <c r="N92" s="3" t="n">
        <f aca="false">IF($M92=0,0,IF(AND(INDEX(Rates!$C$27:$C$35,$M92)=1,$D92&gt;=Rates!$B$22),$D92,0))</f>
        <v>0</v>
      </c>
      <c r="O92" s="3" t="n">
        <f aca="false">IF($M92=0,0,IF(AND(INDEX(Rates!$D$27:$D$35,$M92)=1,$E92&gt;=Rates!$B$22),$E92,0))</f>
        <v>0</v>
      </c>
      <c r="P92" s="3" t="n">
        <f aca="false">IF($M92=0,0,IF(AND(INDEX(Rates!$E$27:$E$35,$M92)=1,$F92&gt;=Rates!$B$22),$F92,0))</f>
        <v>0</v>
      </c>
      <c r="Q92" s="3" t="n">
        <f aca="false">IF($M92=0,0,IF(AND(INDEX(Rates!$B$27:$B$35,$M92)=1,$C92&lt;Rates!$B$23),1,0))</f>
        <v>0</v>
      </c>
    </row>
    <row r="93" customFormat="false" ht="15" hidden="false" customHeight="false" outlineLevel="0" collapsed="false">
      <c r="A93" s="14"/>
      <c r="B93" s="14"/>
      <c r="C93" s="14"/>
      <c r="D93" s="14"/>
      <c r="E93" s="14"/>
      <c r="F93" s="14"/>
      <c r="G93" s="15" t="str">
        <f aca="false">IF($B93="","",IF($M93=0,"✗ unknown species",IF($N93+$O93+$P93&gt;$C93,"✗ allocated more than fish weight",IF($D93+$E93+$F93&gt;$N93+$O93+$P93,"✗ some value-added not applied — 15 lb min per fish / species not eligible — bills as fillet",IF(AND(INDEX(Rates!$B$27:$B$35,$M93)=1,$C93&gt;=Rates!$B$24,$C93&lt;=Rates!$C$24),"~ borderline 10–14 lb — tier may flip at the scale","✓")))))</f>
        <v/>
      </c>
      <c r="H93" s="15" t="str">
        <f aca="false">IF($B93="","",IF($Q93=1,"under-12",""))</f>
        <v/>
      </c>
      <c r="I93" s="15" t="str">
        <f aca="false">IF($M93=0,"",MAX(0,$C93-($N93+$O93+$P93)))</f>
        <v/>
      </c>
      <c r="J93" s="16" t="n">
        <f aca="false">IF($M93=0,0,MAX(0,$C93-($N93+$O93+$P93))*IF($Q93=1,Rates!$B$7,Rates!$B$6)+$N93*Rates!$B$8+$O93*Rates!$B$9+$P93*Rates!$B$10)</f>
        <v>0</v>
      </c>
      <c r="K93" s="16" t="n">
        <f aca="false">IF($M93=0,0,MAX(0,$C93-($N93+$O93+$P93))*IF($Q93=1,Rates!$C$7,Rates!$C$6)+$N93*Rates!$C$8+$O93*Rates!$C$9+$P93*Rates!$C$10)</f>
        <v>0</v>
      </c>
      <c r="M93" s="3" t="n">
        <f aca="false">IFERROR(MATCH($B93,Rates!$A$27:$A$35,0),0)</f>
        <v>0</v>
      </c>
      <c r="N93" s="3" t="n">
        <f aca="false">IF($M93=0,0,IF(AND(INDEX(Rates!$C$27:$C$35,$M93)=1,$D93&gt;=Rates!$B$22),$D93,0))</f>
        <v>0</v>
      </c>
      <c r="O93" s="3" t="n">
        <f aca="false">IF($M93=0,0,IF(AND(INDEX(Rates!$D$27:$D$35,$M93)=1,$E93&gt;=Rates!$B$22),$E93,0))</f>
        <v>0</v>
      </c>
      <c r="P93" s="3" t="n">
        <f aca="false">IF($M93=0,0,IF(AND(INDEX(Rates!$E$27:$E$35,$M93)=1,$F93&gt;=Rates!$B$22),$F93,0))</f>
        <v>0</v>
      </c>
      <c r="Q93" s="3" t="n">
        <f aca="false">IF($M93=0,0,IF(AND(INDEX(Rates!$B$27:$B$35,$M93)=1,$C93&lt;Rates!$B$23),1,0))</f>
        <v>0</v>
      </c>
    </row>
    <row r="94" customFormat="false" ht="15" hidden="false" customHeight="false" outlineLevel="0" collapsed="false">
      <c r="A94" s="14"/>
      <c r="B94" s="14"/>
      <c r="C94" s="14"/>
      <c r="D94" s="14"/>
      <c r="E94" s="14"/>
      <c r="F94" s="14"/>
      <c r="G94" s="15" t="str">
        <f aca="false">IF($B94="","",IF($M94=0,"✗ unknown species",IF($N94+$O94+$P94&gt;$C94,"✗ allocated more than fish weight",IF($D94+$E94+$F94&gt;$N94+$O94+$P94,"✗ some value-added not applied — 15 lb min per fish / species not eligible — bills as fillet",IF(AND(INDEX(Rates!$B$27:$B$35,$M94)=1,$C94&gt;=Rates!$B$24,$C94&lt;=Rates!$C$24),"~ borderline 10–14 lb — tier may flip at the scale","✓")))))</f>
        <v/>
      </c>
      <c r="H94" s="15" t="str">
        <f aca="false">IF($B94="","",IF($Q94=1,"under-12",""))</f>
        <v/>
      </c>
      <c r="I94" s="15" t="str">
        <f aca="false">IF($M94=0,"",MAX(0,$C94-($N94+$O94+$P94)))</f>
        <v/>
      </c>
      <c r="J94" s="16" t="n">
        <f aca="false">IF($M94=0,0,MAX(0,$C94-($N94+$O94+$P94))*IF($Q94=1,Rates!$B$7,Rates!$B$6)+$N94*Rates!$B$8+$O94*Rates!$B$9+$P94*Rates!$B$10)</f>
        <v>0</v>
      </c>
      <c r="K94" s="16" t="n">
        <f aca="false">IF($M94=0,0,MAX(0,$C94-($N94+$O94+$P94))*IF($Q94=1,Rates!$C$7,Rates!$C$6)+$N94*Rates!$C$8+$O94*Rates!$C$9+$P94*Rates!$C$10)</f>
        <v>0</v>
      </c>
      <c r="M94" s="3" t="n">
        <f aca="false">IFERROR(MATCH($B94,Rates!$A$27:$A$35,0),0)</f>
        <v>0</v>
      </c>
      <c r="N94" s="3" t="n">
        <f aca="false">IF($M94=0,0,IF(AND(INDEX(Rates!$C$27:$C$35,$M94)=1,$D94&gt;=Rates!$B$22),$D94,0))</f>
        <v>0</v>
      </c>
      <c r="O94" s="3" t="n">
        <f aca="false">IF($M94=0,0,IF(AND(INDEX(Rates!$D$27:$D$35,$M94)=1,$E94&gt;=Rates!$B$22),$E94,0))</f>
        <v>0</v>
      </c>
      <c r="P94" s="3" t="n">
        <f aca="false">IF($M94=0,0,IF(AND(INDEX(Rates!$E$27:$E$35,$M94)=1,$F94&gt;=Rates!$B$22),$F94,0))</f>
        <v>0</v>
      </c>
      <c r="Q94" s="3" t="n">
        <f aca="false">IF($M94=0,0,IF(AND(INDEX(Rates!$B$27:$B$35,$M94)=1,$C94&lt;Rates!$B$23),1,0))</f>
        <v>0</v>
      </c>
    </row>
    <row r="95" customFormat="false" ht="15" hidden="false" customHeight="false" outlineLevel="0" collapsed="false">
      <c r="A95" s="14"/>
      <c r="B95" s="14"/>
      <c r="C95" s="14"/>
      <c r="D95" s="14"/>
      <c r="E95" s="14"/>
      <c r="F95" s="14"/>
      <c r="G95" s="15" t="str">
        <f aca="false">IF($B95="","",IF($M95=0,"✗ unknown species",IF($N95+$O95+$P95&gt;$C95,"✗ allocated more than fish weight",IF($D95+$E95+$F95&gt;$N95+$O95+$P95,"✗ some value-added not applied — 15 lb min per fish / species not eligible — bills as fillet",IF(AND(INDEX(Rates!$B$27:$B$35,$M95)=1,$C95&gt;=Rates!$B$24,$C95&lt;=Rates!$C$24),"~ borderline 10–14 lb — tier may flip at the scale","✓")))))</f>
        <v/>
      </c>
      <c r="H95" s="15" t="str">
        <f aca="false">IF($B95="","",IF($Q95=1,"under-12",""))</f>
        <v/>
      </c>
      <c r="I95" s="15" t="str">
        <f aca="false">IF($M95=0,"",MAX(0,$C95-($N95+$O95+$P95)))</f>
        <v/>
      </c>
      <c r="J95" s="16" t="n">
        <f aca="false">IF($M95=0,0,MAX(0,$C95-($N95+$O95+$P95))*IF($Q95=1,Rates!$B$7,Rates!$B$6)+$N95*Rates!$B$8+$O95*Rates!$B$9+$P95*Rates!$B$10)</f>
        <v>0</v>
      </c>
      <c r="K95" s="16" t="n">
        <f aca="false">IF($M95=0,0,MAX(0,$C95-($N95+$O95+$P95))*IF($Q95=1,Rates!$C$7,Rates!$C$6)+$N95*Rates!$C$8+$O95*Rates!$C$9+$P95*Rates!$C$10)</f>
        <v>0</v>
      </c>
      <c r="M95" s="3" t="n">
        <f aca="false">IFERROR(MATCH($B95,Rates!$A$27:$A$35,0),0)</f>
        <v>0</v>
      </c>
      <c r="N95" s="3" t="n">
        <f aca="false">IF($M95=0,0,IF(AND(INDEX(Rates!$C$27:$C$35,$M95)=1,$D95&gt;=Rates!$B$22),$D95,0))</f>
        <v>0</v>
      </c>
      <c r="O95" s="3" t="n">
        <f aca="false">IF($M95=0,0,IF(AND(INDEX(Rates!$D$27:$D$35,$M95)=1,$E95&gt;=Rates!$B$22),$E95,0))</f>
        <v>0</v>
      </c>
      <c r="P95" s="3" t="n">
        <f aca="false">IF($M95=0,0,IF(AND(INDEX(Rates!$E$27:$E$35,$M95)=1,$F95&gt;=Rates!$B$22),$F95,0))</f>
        <v>0</v>
      </c>
      <c r="Q95" s="3" t="n">
        <f aca="false">IF($M95=0,0,IF(AND(INDEX(Rates!$B$27:$B$35,$M95)=1,$C95&lt;Rates!$B$23),1,0))</f>
        <v>0</v>
      </c>
    </row>
    <row r="96" customFormat="false" ht="15" hidden="false" customHeight="false" outlineLevel="0" collapsed="false">
      <c r="A96" s="14"/>
      <c r="B96" s="14"/>
      <c r="C96" s="14"/>
      <c r="D96" s="14"/>
      <c r="E96" s="14"/>
      <c r="F96" s="14"/>
      <c r="G96" s="15" t="str">
        <f aca="false">IF($B96="","",IF($M96=0,"✗ unknown species",IF($N96+$O96+$P96&gt;$C96,"✗ allocated more than fish weight",IF($D96+$E96+$F96&gt;$N96+$O96+$P96,"✗ some value-added not applied — 15 lb min per fish / species not eligible — bills as fillet",IF(AND(INDEX(Rates!$B$27:$B$35,$M96)=1,$C96&gt;=Rates!$B$24,$C96&lt;=Rates!$C$24),"~ borderline 10–14 lb — tier may flip at the scale","✓")))))</f>
        <v/>
      </c>
      <c r="H96" s="15" t="str">
        <f aca="false">IF($B96="","",IF($Q96=1,"under-12",""))</f>
        <v/>
      </c>
      <c r="I96" s="15" t="str">
        <f aca="false">IF($M96=0,"",MAX(0,$C96-($N96+$O96+$P96)))</f>
        <v/>
      </c>
      <c r="J96" s="16" t="n">
        <f aca="false">IF($M96=0,0,MAX(0,$C96-($N96+$O96+$P96))*IF($Q96=1,Rates!$B$7,Rates!$B$6)+$N96*Rates!$B$8+$O96*Rates!$B$9+$P96*Rates!$B$10)</f>
        <v>0</v>
      </c>
      <c r="K96" s="16" t="n">
        <f aca="false">IF($M96=0,0,MAX(0,$C96-($N96+$O96+$P96))*IF($Q96=1,Rates!$C$7,Rates!$C$6)+$N96*Rates!$C$8+$O96*Rates!$C$9+$P96*Rates!$C$10)</f>
        <v>0</v>
      </c>
      <c r="M96" s="3" t="n">
        <f aca="false">IFERROR(MATCH($B96,Rates!$A$27:$A$35,0),0)</f>
        <v>0</v>
      </c>
      <c r="N96" s="3" t="n">
        <f aca="false">IF($M96=0,0,IF(AND(INDEX(Rates!$C$27:$C$35,$M96)=1,$D96&gt;=Rates!$B$22),$D96,0))</f>
        <v>0</v>
      </c>
      <c r="O96" s="3" t="n">
        <f aca="false">IF($M96=0,0,IF(AND(INDEX(Rates!$D$27:$D$35,$M96)=1,$E96&gt;=Rates!$B$22),$E96,0))</f>
        <v>0</v>
      </c>
      <c r="P96" s="3" t="n">
        <f aca="false">IF($M96=0,0,IF(AND(INDEX(Rates!$E$27:$E$35,$M96)=1,$F96&gt;=Rates!$B$22),$F96,0))</f>
        <v>0</v>
      </c>
      <c r="Q96" s="3" t="n">
        <f aca="false">IF($M96=0,0,IF(AND(INDEX(Rates!$B$27:$B$35,$M96)=1,$C96&lt;Rates!$B$23),1,0))</f>
        <v>0</v>
      </c>
    </row>
    <row r="97" customFormat="false" ht="15" hidden="false" customHeight="false" outlineLevel="0" collapsed="false">
      <c r="A97" s="14"/>
      <c r="B97" s="14"/>
      <c r="C97" s="14"/>
      <c r="D97" s="14"/>
      <c r="E97" s="14"/>
      <c r="F97" s="14"/>
      <c r="G97" s="15" t="str">
        <f aca="false">IF($B97="","",IF($M97=0,"✗ unknown species",IF($N97+$O97+$P97&gt;$C97,"✗ allocated more than fish weight",IF($D97+$E97+$F97&gt;$N97+$O97+$P97,"✗ some value-added not applied — 15 lb min per fish / species not eligible — bills as fillet",IF(AND(INDEX(Rates!$B$27:$B$35,$M97)=1,$C97&gt;=Rates!$B$24,$C97&lt;=Rates!$C$24),"~ borderline 10–14 lb — tier may flip at the scale","✓")))))</f>
        <v/>
      </c>
      <c r="H97" s="15" t="str">
        <f aca="false">IF($B97="","",IF($Q97=1,"under-12",""))</f>
        <v/>
      </c>
      <c r="I97" s="15" t="str">
        <f aca="false">IF($M97=0,"",MAX(0,$C97-($N97+$O97+$P97)))</f>
        <v/>
      </c>
      <c r="J97" s="16" t="n">
        <f aca="false">IF($M97=0,0,MAX(0,$C97-($N97+$O97+$P97))*IF($Q97=1,Rates!$B$7,Rates!$B$6)+$N97*Rates!$B$8+$O97*Rates!$B$9+$P97*Rates!$B$10)</f>
        <v>0</v>
      </c>
      <c r="K97" s="16" t="n">
        <f aca="false">IF($M97=0,0,MAX(0,$C97-($N97+$O97+$P97))*IF($Q97=1,Rates!$C$7,Rates!$C$6)+$N97*Rates!$C$8+$O97*Rates!$C$9+$P97*Rates!$C$10)</f>
        <v>0</v>
      </c>
      <c r="M97" s="3" t="n">
        <f aca="false">IFERROR(MATCH($B97,Rates!$A$27:$A$35,0),0)</f>
        <v>0</v>
      </c>
      <c r="N97" s="3" t="n">
        <f aca="false">IF($M97=0,0,IF(AND(INDEX(Rates!$C$27:$C$35,$M97)=1,$D97&gt;=Rates!$B$22),$D97,0))</f>
        <v>0</v>
      </c>
      <c r="O97" s="3" t="n">
        <f aca="false">IF($M97=0,0,IF(AND(INDEX(Rates!$D$27:$D$35,$M97)=1,$E97&gt;=Rates!$B$22),$E97,0))</f>
        <v>0</v>
      </c>
      <c r="P97" s="3" t="n">
        <f aca="false">IF($M97=0,0,IF(AND(INDEX(Rates!$E$27:$E$35,$M97)=1,$F97&gt;=Rates!$B$22),$F97,0))</f>
        <v>0</v>
      </c>
      <c r="Q97" s="3" t="n">
        <f aca="false">IF($M97=0,0,IF(AND(INDEX(Rates!$B$27:$B$35,$M97)=1,$C97&lt;Rates!$B$23),1,0))</f>
        <v>0</v>
      </c>
    </row>
    <row r="98" customFormat="false" ht="15" hidden="false" customHeight="false" outlineLevel="0" collapsed="false">
      <c r="A98" s="14"/>
      <c r="B98" s="14"/>
      <c r="C98" s="14"/>
      <c r="D98" s="14"/>
      <c r="E98" s="14"/>
      <c r="F98" s="14"/>
      <c r="G98" s="15" t="str">
        <f aca="false">IF($B98="","",IF($M98=0,"✗ unknown species",IF($N98+$O98+$P98&gt;$C98,"✗ allocated more than fish weight",IF($D98+$E98+$F98&gt;$N98+$O98+$P98,"✗ some value-added not applied — 15 lb min per fish / species not eligible — bills as fillet",IF(AND(INDEX(Rates!$B$27:$B$35,$M98)=1,$C98&gt;=Rates!$B$24,$C98&lt;=Rates!$C$24),"~ borderline 10–14 lb — tier may flip at the scale","✓")))))</f>
        <v/>
      </c>
      <c r="H98" s="15" t="str">
        <f aca="false">IF($B98="","",IF($Q98=1,"under-12",""))</f>
        <v/>
      </c>
      <c r="I98" s="15" t="str">
        <f aca="false">IF($M98=0,"",MAX(0,$C98-($N98+$O98+$P98)))</f>
        <v/>
      </c>
      <c r="J98" s="16" t="n">
        <f aca="false">IF($M98=0,0,MAX(0,$C98-($N98+$O98+$P98))*IF($Q98=1,Rates!$B$7,Rates!$B$6)+$N98*Rates!$B$8+$O98*Rates!$B$9+$P98*Rates!$B$10)</f>
        <v>0</v>
      </c>
      <c r="K98" s="16" t="n">
        <f aca="false">IF($M98=0,0,MAX(0,$C98-($N98+$O98+$P98))*IF($Q98=1,Rates!$C$7,Rates!$C$6)+$N98*Rates!$C$8+$O98*Rates!$C$9+$P98*Rates!$C$10)</f>
        <v>0</v>
      </c>
      <c r="M98" s="3" t="n">
        <f aca="false">IFERROR(MATCH($B98,Rates!$A$27:$A$35,0),0)</f>
        <v>0</v>
      </c>
      <c r="N98" s="3" t="n">
        <f aca="false">IF($M98=0,0,IF(AND(INDEX(Rates!$C$27:$C$35,$M98)=1,$D98&gt;=Rates!$B$22),$D98,0))</f>
        <v>0</v>
      </c>
      <c r="O98" s="3" t="n">
        <f aca="false">IF($M98=0,0,IF(AND(INDEX(Rates!$D$27:$D$35,$M98)=1,$E98&gt;=Rates!$B$22),$E98,0))</f>
        <v>0</v>
      </c>
      <c r="P98" s="3" t="n">
        <f aca="false">IF($M98=0,0,IF(AND(INDEX(Rates!$E$27:$E$35,$M98)=1,$F98&gt;=Rates!$B$22),$F98,0))</f>
        <v>0</v>
      </c>
      <c r="Q98" s="3" t="n">
        <f aca="false">IF($M98=0,0,IF(AND(INDEX(Rates!$B$27:$B$35,$M98)=1,$C98&lt;Rates!$B$23),1,0))</f>
        <v>0</v>
      </c>
    </row>
    <row r="99" customFormat="false" ht="15" hidden="false" customHeight="false" outlineLevel="0" collapsed="false">
      <c r="A99" s="14"/>
      <c r="B99" s="14"/>
      <c r="C99" s="14"/>
      <c r="D99" s="14"/>
      <c r="E99" s="14"/>
      <c r="F99" s="14"/>
      <c r="G99" s="15" t="str">
        <f aca="false">IF($B99="","",IF($M99=0,"✗ unknown species",IF($N99+$O99+$P99&gt;$C99,"✗ allocated more than fish weight",IF($D99+$E99+$F99&gt;$N99+$O99+$P99,"✗ some value-added not applied — 15 lb min per fish / species not eligible — bills as fillet",IF(AND(INDEX(Rates!$B$27:$B$35,$M99)=1,$C99&gt;=Rates!$B$24,$C99&lt;=Rates!$C$24),"~ borderline 10–14 lb — tier may flip at the scale","✓")))))</f>
        <v/>
      </c>
      <c r="H99" s="15" t="str">
        <f aca="false">IF($B99="","",IF($Q99=1,"under-12",""))</f>
        <v/>
      </c>
      <c r="I99" s="15" t="str">
        <f aca="false">IF($M99=0,"",MAX(0,$C99-($N99+$O99+$P99)))</f>
        <v/>
      </c>
      <c r="J99" s="16" t="n">
        <f aca="false">IF($M99=0,0,MAX(0,$C99-($N99+$O99+$P99))*IF($Q99=1,Rates!$B$7,Rates!$B$6)+$N99*Rates!$B$8+$O99*Rates!$B$9+$P99*Rates!$B$10)</f>
        <v>0</v>
      </c>
      <c r="K99" s="16" t="n">
        <f aca="false">IF($M99=0,0,MAX(0,$C99-($N99+$O99+$P99))*IF($Q99=1,Rates!$C$7,Rates!$C$6)+$N99*Rates!$C$8+$O99*Rates!$C$9+$P99*Rates!$C$10)</f>
        <v>0</v>
      </c>
      <c r="M99" s="3" t="n">
        <f aca="false">IFERROR(MATCH($B99,Rates!$A$27:$A$35,0),0)</f>
        <v>0</v>
      </c>
      <c r="N99" s="3" t="n">
        <f aca="false">IF($M99=0,0,IF(AND(INDEX(Rates!$C$27:$C$35,$M99)=1,$D99&gt;=Rates!$B$22),$D99,0))</f>
        <v>0</v>
      </c>
      <c r="O99" s="3" t="n">
        <f aca="false">IF($M99=0,0,IF(AND(INDEX(Rates!$D$27:$D$35,$M99)=1,$E99&gt;=Rates!$B$22),$E99,0))</f>
        <v>0</v>
      </c>
      <c r="P99" s="3" t="n">
        <f aca="false">IF($M99=0,0,IF(AND(INDEX(Rates!$E$27:$E$35,$M99)=1,$F99&gt;=Rates!$B$22),$F99,0))</f>
        <v>0</v>
      </c>
      <c r="Q99" s="3" t="n">
        <f aca="false">IF($M99=0,0,IF(AND(INDEX(Rates!$B$27:$B$35,$M99)=1,$C99&lt;Rates!$B$23),1,0))</f>
        <v>0</v>
      </c>
    </row>
    <row r="100" customFormat="false" ht="15" hidden="false" customHeight="false" outlineLevel="0" collapsed="false">
      <c r="A100" s="14"/>
      <c r="B100" s="14"/>
      <c r="C100" s="14"/>
      <c r="D100" s="14"/>
      <c r="E100" s="14"/>
      <c r="F100" s="14"/>
      <c r="G100" s="15" t="str">
        <f aca="false">IF($B100="","",IF($M100=0,"✗ unknown species",IF($N100+$O100+$P100&gt;$C100,"✗ allocated more than fish weight",IF($D100+$E100+$F100&gt;$N100+$O100+$P100,"✗ some value-added not applied — 15 lb min per fish / species not eligible — bills as fillet",IF(AND(INDEX(Rates!$B$27:$B$35,$M100)=1,$C100&gt;=Rates!$B$24,$C100&lt;=Rates!$C$24),"~ borderline 10–14 lb — tier may flip at the scale","✓")))))</f>
        <v/>
      </c>
      <c r="H100" s="15" t="str">
        <f aca="false">IF($B100="","",IF($Q100=1,"under-12",""))</f>
        <v/>
      </c>
      <c r="I100" s="15" t="str">
        <f aca="false">IF($M100=0,"",MAX(0,$C100-($N100+$O100+$P100)))</f>
        <v/>
      </c>
      <c r="J100" s="16" t="n">
        <f aca="false">IF($M100=0,0,MAX(0,$C100-($N100+$O100+$P100))*IF($Q100=1,Rates!$B$7,Rates!$B$6)+$N100*Rates!$B$8+$O100*Rates!$B$9+$P100*Rates!$B$10)</f>
        <v>0</v>
      </c>
      <c r="K100" s="16" t="n">
        <f aca="false">IF($M100=0,0,MAX(0,$C100-($N100+$O100+$P100))*IF($Q100=1,Rates!$C$7,Rates!$C$6)+$N100*Rates!$C$8+$O100*Rates!$C$9+$P100*Rates!$C$10)</f>
        <v>0</v>
      </c>
      <c r="M100" s="3" t="n">
        <f aca="false">IFERROR(MATCH($B100,Rates!$A$27:$A$35,0),0)</f>
        <v>0</v>
      </c>
      <c r="N100" s="3" t="n">
        <f aca="false">IF($M100=0,0,IF(AND(INDEX(Rates!$C$27:$C$35,$M100)=1,$D100&gt;=Rates!$B$22),$D100,0))</f>
        <v>0</v>
      </c>
      <c r="O100" s="3" t="n">
        <f aca="false">IF($M100=0,0,IF(AND(INDEX(Rates!$D$27:$D$35,$M100)=1,$E100&gt;=Rates!$B$22),$E100,0))</f>
        <v>0</v>
      </c>
      <c r="P100" s="3" t="n">
        <f aca="false">IF($M100=0,0,IF(AND(INDEX(Rates!$E$27:$E$35,$M100)=1,$F100&gt;=Rates!$B$22),$F100,0))</f>
        <v>0</v>
      </c>
      <c r="Q100" s="3" t="n">
        <f aca="false">IF($M100=0,0,IF(AND(INDEX(Rates!$B$27:$B$35,$M100)=1,$C100&lt;Rates!$B$23),1,0))</f>
        <v>0</v>
      </c>
    </row>
    <row r="101" customFormat="false" ht="15" hidden="false" customHeight="false" outlineLevel="0" collapsed="false">
      <c r="A101" s="14"/>
      <c r="B101" s="14"/>
      <c r="C101" s="14"/>
      <c r="D101" s="14"/>
      <c r="E101" s="14"/>
      <c r="F101" s="14"/>
      <c r="G101" s="15" t="str">
        <f aca="false">IF($B101="","",IF($M101=0,"✗ unknown species",IF($N101+$O101+$P101&gt;$C101,"✗ allocated more than fish weight",IF($D101+$E101+$F101&gt;$N101+$O101+$P101,"✗ some value-added not applied — 15 lb min per fish / species not eligible — bills as fillet",IF(AND(INDEX(Rates!$B$27:$B$35,$M101)=1,$C101&gt;=Rates!$B$24,$C101&lt;=Rates!$C$24),"~ borderline 10–14 lb — tier may flip at the scale","✓")))))</f>
        <v/>
      </c>
      <c r="H101" s="15" t="str">
        <f aca="false">IF($B101="","",IF($Q101=1,"under-12",""))</f>
        <v/>
      </c>
      <c r="I101" s="15" t="str">
        <f aca="false">IF($M101=0,"",MAX(0,$C101-($N101+$O101+$P101)))</f>
        <v/>
      </c>
      <c r="J101" s="16" t="n">
        <f aca="false">IF($M101=0,0,MAX(0,$C101-($N101+$O101+$P101))*IF($Q101=1,Rates!$B$7,Rates!$B$6)+$N101*Rates!$B$8+$O101*Rates!$B$9+$P101*Rates!$B$10)</f>
        <v>0</v>
      </c>
      <c r="K101" s="16" t="n">
        <f aca="false">IF($M101=0,0,MAX(0,$C101-($N101+$O101+$P101))*IF($Q101=1,Rates!$C$7,Rates!$C$6)+$N101*Rates!$C$8+$O101*Rates!$C$9+$P101*Rates!$C$10)</f>
        <v>0</v>
      </c>
      <c r="M101" s="3" t="n">
        <f aca="false">IFERROR(MATCH($B101,Rates!$A$27:$A$35,0),0)</f>
        <v>0</v>
      </c>
      <c r="N101" s="3" t="n">
        <f aca="false">IF($M101=0,0,IF(AND(INDEX(Rates!$C$27:$C$35,$M101)=1,$D101&gt;=Rates!$B$22),$D101,0))</f>
        <v>0</v>
      </c>
      <c r="O101" s="3" t="n">
        <f aca="false">IF($M101=0,0,IF(AND(INDEX(Rates!$D$27:$D$35,$M101)=1,$E101&gt;=Rates!$B$22),$E101,0))</f>
        <v>0</v>
      </c>
      <c r="P101" s="3" t="n">
        <f aca="false">IF($M101=0,0,IF(AND(INDEX(Rates!$E$27:$E$35,$M101)=1,$F101&gt;=Rates!$B$22),$F101,0))</f>
        <v>0</v>
      </c>
      <c r="Q101" s="3" t="n">
        <f aca="false">IF($M101=0,0,IF(AND(INDEX(Rates!$B$27:$B$35,$M101)=1,$C101&lt;Rates!$B$23),1,0))</f>
        <v>0</v>
      </c>
    </row>
    <row r="102" customFormat="false" ht="15" hidden="false" customHeight="false" outlineLevel="0" collapsed="false">
      <c r="A102" s="14"/>
      <c r="B102" s="14"/>
      <c r="C102" s="14"/>
      <c r="D102" s="14"/>
      <c r="E102" s="14"/>
      <c r="F102" s="14"/>
      <c r="G102" s="15" t="str">
        <f aca="false">IF($B102="","",IF($M102=0,"✗ unknown species",IF($N102+$O102+$P102&gt;$C102,"✗ allocated more than fish weight",IF($D102+$E102+$F102&gt;$N102+$O102+$P102,"✗ some value-added not applied — 15 lb min per fish / species not eligible — bills as fillet",IF(AND(INDEX(Rates!$B$27:$B$35,$M102)=1,$C102&gt;=Rates!$B$24,$C102&lt;=Rates!$C$24),"~ borderline 10–14 lb — tier may flip at the scale","✓")))))</f>
        <v/>
      </c>
      <c r="H102" s="15" t="str">
        <f aca="false">IF($B102="","",IF($Q102=1,"under-12",""))</f>
        <v/>
      </c>
      <c r="I102" s="15" t="str">
        <f aca="false">IF($M102=0,"",MAX(0,$C102-($N102+$O102+$P102)))</f>
        <v/>
      </c>
      <c r="J102" s="16" t="n">
        <f aca="false">IF($M102=0,0,MAX(0,$C102-($N102+$O102+$P102))*IF($Q102=1,Rates!$B$7,Rates!$B$6)+$N102*Rates!$B$8+$O102*Rates!$B$9+$P102*Rates!$B$10)</f>
        <v>0</v>
      </c>
      <c r="K102" s="16" t="n">
        <f aca="false">IF($M102=0,0,MAX(0,$C102-($N102+$O102+$P102))*IF($Q102=1,Rates!$C$7,Rates!$C$6)+$N102*Rates!$C$8+$O102*Rates!$C$9+$P102*Rates!$C$10)</f>
        <v>0</v>
      </c>
      <c r="M102" s="3" t="n">
        <f aca="false">IFERROR(MATCH($B102,Rates!$A$27:$A$35,0),0)</f>
        <v>0</v>
      </c>
      <c r="N102" s="3" t="n">
        <f aca="false">IF($M102=0,0,IF(AND(INDEX(Rates!$C$27:$C$35,$M102)=1,$D102&gt;=Rates!$B$22),$D102,0))</f>
        <v>0</v>
      </c>
      <c r="O102" s="3" t="n">
        <f aca="false">IF($M102=0,0,IF(AND(INDEX(Rates!$D$27:$D$35,$M102)=1,$E102&gt;=Rates!$B$22),$E102,0))</f>
        <v>0</v>
      </c>
      <c r="P102" s="3" t="n">
        <f aca="false">IF($M102=0,0,IF(AND(INDEX(Rates!$E$27:$E$35,$M102)=1,$F102&gt;=Rates!$B$22),$F102,0))</f>
        <v>0</v>
      </c>
      <c r="Q102" s="3" t="n">
        <f aca="false">IF($M102=0,0,IF(AND(INDEX(Rates!$B$27:$B$35,$M102)=1,$C102&lt;Rates!$B$23),1,0))</f>
        <v>0</v>
      </c>
    </row>
    <row r="103" customFormat="false" ht="15" hidden="false" customHeight="false" outlineLevel="0" collapsed="false">
      <c r="A103" s="14"/>
      <c r="B103" s="14"/>
      <c r="C103" s="14"/>
      <c r="D103" s="14"/>
      <c r="E103" s="14"/>
      <c r="F103" s="14"/>
      <c r="G103" s="15" t="str">
        <f aca="false">IF($B103="","",IF($M103=0,"✗ unknown species",IF($N103+$O103+$P103&gt;$C103,"✗ allocated more than fish weight",IF($D103+$E103+$F103&gt;$N103+$O103+$P103,"✗ some value-added not applied — 15 lb min per fish / species not eligible — bills as fillet",IF(AND(INDEX(Rates!$B$27:$B$35,$M103)=1,$C103&gt;=Rates!$B$24,$C103&lt;=Rates!$C$24),"~ borderline 10–14 lb — tier may flip at the scale","✓")))))</f>
        <v/>
      </c>
      <c r="H103" s="15" t="str">
        <f aca="false">IF($B103="","",IF($Q103=1,"under-12",""))</f>
        <v/>
      </c>
      <c r="I103" s="15" t="str">
        <f aca="false">IF($M103=0,"",MAX(0,$C103-($N103+$O103+$P103)))</f>
        <v/>
      </c>
      <c r="J103" s="16" t="n">
        <f aca="false">IF($M103=0,0,MAX(0,$C103-($N103+$O103+$P103))*IF($Q103=1,Rates!$B$7,Rates!$B$6)+$N103*Rates!$B$8+$O103*Rates!$B$9+$P103*Rates!$B$10)</f>
        <v>0</v>
      </c>
      <c r="K103" s="16" t="n">
        <f aca="false">IF($M103=0,0,MAX(0,$C103-($N103+$O103+$P103))*IF($Q103=1,Rates!$C$7,Rates!$C$6)+$N103*Rates!$C$8+$O103*Rates!$C$9+$P103*Rates!$C$10)</f>
        <v>0</v>
      </c>
      <c r="M103" s="3" t="n">
        <f aca="false">IFERROR(MATCH($B103,Rates!$A$27:$A$35,0),0)</f>
        <v>0</v>
      </c>
      <c r="N103" s="3" t="n">
        <f aca="false">IF($M103=0,0,IF(AND(INDEX(Rates!$C$27:$C$35,$M103)=1,$D103&gt;=Rates!$B$22),$D103,0))</f>
        <v>0</v>
      </c>
      <c r="O103" s="3" t="n">
        <f aca="false">IF($M103=0,0,IF(AND(INDEX(Rates!$D$27:$D$35,$M103)=1,$E103&gt;=Rates!$B$22),$E103,0))</f>
        <v>0</v>
      </c>
      <c r="P103" s="3" t="n">
        <f aca="false">IF($M103=0,0,IF(AND(INDEX(Rates!$E$27:$E$35,$M103)=1,$F103&gt;=Rates!$B$22),$F103,0))</f>
        <v>0</v>
      </c>
      <c r="Q103" s="3" t="n">
        <f aca="false">IF($M103=0,0,IF(AND(INDEX(Rates!$B$27:$B$35,$M103)=1,$C103&lt;Rates!$B$23),1,0))</f>
        <v>0</v>
      </c>
    </row>
    <row r="104" customFormat="false" ht="15" hidden="false" customHeight="false" outlineLevel="0" collapsed="false">
      <c r="A104" s="14"/>
      <c r="B104" s="14"/>
      <c r="C104" s="14"/>
      <c r="D104" s="14"/>
      <c r="E104" s="14"/>
      <c r="F104" s="14"/>
      <c r="G104" s="15" t="str">
        <f aca="false">IF($B104="","",IF($M104=0,"✗ unknown species",IF($N104+$O104+$P104&gt;$C104,"✗ allocated more than fish weight",IF($D104+$E104+$F104&gt;$N104+$O104+$P104,"✗ some value-added not applied — 15 lb min per fish / species not eligible — bills as fillet",IF(AND(INDEX(Rates!$B$27:$B$35,$M104)=1,$C104&gt;=Rates!$B$24,$C104&lt;=Rates!$C$24),"~ borderline 10–14 lb — tier may flip at the scale","✓")))))</f>
        <v/>
      </c>
      <c r="H104" s="15" t="str">
        <f aca="false">IF($B104="","",IF($Q104=1,"under-12",""))</f>
        <v/>
      </c>
      <c r="I104" s="15" t="str">
        <f aca="false">IF($M104=0,"",MAX(0,$C104-($N104+$O104+$P104)))</f>
        <v/>
      </c>
      <c r="J104" s="16" t="n">
        <f aca="false">IF($M104=0,0,MAX(0,$C104-($N104+$O104+$P104))*IF($Q104=1,Rates!$B$7,Rates!$B$6)+$N104*Rates!$B$8+$O104*Rates!$B$9+$P104*Rates!$B$10)</f>
        <v>0</v>
      </c>
      <c r="K104" s="16" t="n">
        <f aca="false">IF($M104=0,0,MAX(0,$C104-($N104+$O104+$P104))*IF($Q104=1,Rates!$C$7,Rates!$C$6)+$N104*Rates!$C$8+$O104*Rates!$C$9+$P104*Rates!$C$10)</f>
        <v>0</v>
      </c>
      <c r="M104" s="3" t="n">
        <f aca="false">IFERROR(MATCH($B104,Rates!$A$27:$A$35,0),0)</f>
        <v>0</v>
      </c>
      <c r="N104" s="3" t="n">
        <f aca="false">IF($M104=0,0,IF(AND(INDEX(Rates!$C$27:$C$35,$M104)=1,$D104&gt;=Rates!$B$22),$D104,0))</f>
        <v>0</v>
      </c>
      <c r="O104" s="3" t="n">
        <f aca="false">IF($M104=0,0,IF(AND(INDEX(Rates!$D$27:$D$35,$M104)=1,$E104&gt;=Rates!$B$22),$E104,0))</f>
        <v>0</v>
      </c>
      <c r="P104" s="3" t="n">
        <f aca="false">IF($M104=0,0,IF(AND(INDEX(Rates!$E$27:$E$35,$M104)=1,$F104&gt;=Rates!$B$22),$F104,0))</f>
        <v>0</v>
      </c>
      <c r="Q104" s="3" t="n">
        <f aca="false">IF($M104=0,0,IF(AND(INDEX(Rates!$B$27:$B$35,$M104)=1,$C104&lt;Rates!$B$23),1,0))</f>
        <v>0</v>
      </c>
    </row>
    <row r="105" customFormat="false" ht="15" hidden="false" customHeight="false" outlineLevel="0" collapsed="false">
      <c r="A105" s="14"/>
      <c r="B105" s="14"/>
      <c r="C105" s="14"/>
      <c r="D105" s="14"/>
      <c r="E105" s="14"/>
      <c r="F105" s="14"/>
      <c r="G105" s="15" t="str">
        <f aca="false">IF($B105="","",IF($M105=0,"✗ unknown species",IF($N105+$O105+$P105&gt;$C105,"✗ allocated more than fish weight",IF($D105+$E105+$F105&gt;$N105+$O105+$P105,"✗ some value-added not applied — 15 lb min per fish / species not eligible — bills as fillet",IF(AND(INDEX(Rates!$B$27:$B$35,$M105)=1,$C105&gt;=Rates!$B$24,$C105&lt;=Rates!$C$24),"~ borderline 10–14 lb — tier may flip at the scale","✓")))))</f>
        <v/>
      </c>
      <c r="H105" s="15" t="str">
        <f aca="false">IF($B105="","",IF($Q105=1,"under-12",""))</f>
        <v/>
      </c>
      <c r="I105" s="15" t="str">
        <f aca="false">IF($M105=0,"",MAX(0,$C105-($N105+$O105+$P105)))</f>
        <v/>
      </c>
      <c r="J105" s="16" t="n">
        <f aca="false">IF($M105=0,0,MAX(0,$C105-($N105+$O105+$P105))*IF($Q105=1,Rates!$B$7,Rates!$B$6)+$N105*Rates!$B$8+$O105*Rates!$B$9+$P105*Rates!$B$10)</f>
        <v>0</v>
      </c>
      <c r="K105" s="16" t="n">
        <f aca="false">IF($M105=0,0,MAX(0,$C105-($N105+$O105+$P105))*IF($Q105=1,Rates!$C$7,Rates!$C$6)+$N105*Rates!$C$8+$O105*Rates!$C$9+$P105*Rates!$C$10)</f>
        <v>0</v>
      </c>
      <c r="M105" s="3" t="n">
        <f aca="false">IFERROR(MATCH($B105,Rates!$A$27:$A$35,0),0)</f>
        <v>0</v>
      </c>
      <c r="N105" s="3" t="n">
        <f aca="false">IF($M105=0,0,IF(AND(INDEX(Rates!$C$27:$C$35,$M105)=1,$D105&gt;=Rates!$B$22),$D105,0))</f>
        <v>0</v>
      </c>
      <c r="O105" s="3" t="n">
        <f aca="false">IF($M105=0,0,IF(AND(INDEX(Rates!$D$27:$D$35,$M105)=1,$E105&gt;=Rates!$B$22),$E105,0))</f>
        <v>0</v>
      </c>
      <c r="P105" s="3" t="n">
        <f aca="false">IF($M105=0,0,IF(AND(INDEX(Rates!$E$27:$E$35,$M105)=1,$F105&gt;=Rates!$B$22),$F105,0))</f>
        <v>0</v>
      </c>
      <c r="Q105" s="3" t="n">
        <f aca="false">IF($M105=0,0,IF(AND(INDEX(Rates!$B$27:$B$35,$M105)=1,$C105&lt;Rates!$B$23),1,0))</f>
        <v>0</v>
      </c>
    </row>
    <row r="106" customFormat="false" ht="15" hidden="false" customHeight="false" outlineLevel="0" collapsed="false">
      <c r="A106" s="14"/>
      <c r="B106" s="14"/>
      <c r="C106" s="14"/>
      <c r="D106" s="14"/>
      <c r="E106" s="14"/>
      <c r="F106" s="14"/>
      <c r="G106" s="15" t="str">
        <f aca="false">IF($B106="","",IF($M106=0,"✗ unknown species",IF($N106+$O106+$P106&gt;$C106,"✗ allocated more than fish weight",IF($D106+$E106+$F106&gt;$N106+$O106+$P106,"✗ some value-added not applied — 15 lb min per fish / species not eligible — bills as fillet",IF(AND(INDEX(Rates!$B$27:$B$35,$M106)=1,$C106&gt;=Rates!$B$24,$C106&lt;=Rates!$C$24),"~ borderline 10–14 lb — tier may flip at the scale","✓")))))</f>
        <v/>
      </c>
      <c r="H106" s="15" t="str">
        <f aca="false">IF($B106="","",IF($Q106=1,"under-12",""))</f>
        <v/>
      </c>
      <c r="I106" s="15" t="str">
        <f aca="false">IF($M106=0,"",MAX(0,$C106-($N106+$O106+$P106)))</f>
        <v/>
      </c>
      <c r="J106" s="16" t="n">
        <f aca="false">IF($M106=0,0,MAX(0,$C106-($N106+$O106+$P106))*IF($Q106=1,Rates!$B$7,Rates!$B$6)+$N106*Rates!$B$8+$O106*Rates!$B$9+$P106*Rates!$B$10)</f>
        <v>0</v>
      </c>
      <c r="K106" s="16" t="n">
        <f aca="false">IF($M106=0,0,MAX(0,$C106-($N106+$O106+$P106))*IF($Q106=1,Rates!$C$7,Rates!$C$6)+$N106*Rates!$C$8+$O106*Rates!$C$9+$P106*Rates!$C$10)</f>
        <v>0</v>
      </c>
      <c r="M106" s="3" t="n">
        <f aca="false">IFERROR(MATCH($B106,Rates!$A$27:$A$35,0),0)</f>
        <v>0</v>
      </c>
      <c r="N106" s="3" t="n">
        <f aca="false">IF($M106=0,0,IF(AND(INDEX(Rates!$C$27:$C$35,$M106)=1,$D106&gt;=Rates!$B$22),$D106,0))</f>
        <v>0</v>
      </c>
      <c r="O106" s="3" t="n">
        <f aca="false">IF($M106=0,0,IF(AND(INDEX(Rates!$D$27:$D$35,$M106)=1,$E106&gt;=Rates!$B$22),$E106,0))</f>
        <v>0</v>
      </c>
      <c r="P106" s="3" t="n">
        <f aca="false">IF($M106=0,0,IF(AND(INDEX(Rates!$E$27:$E$35,$M106)=1,$F106&gt;=Rates!$B$22),$F106,0))</f>
        <v>0</v>
      </c>
      <c r="Q106" s="3" t="n">
        <f aca="false">IF($M106=0,0,IF(AND(INDEX(Rates!$B$27:$B$35,$M106)=1,$C106&lt;Rates!$B$23),1,0))</f>
        <v>0</v>
      </c>
    </row>
    <row r="107" customFormat="false" ht="15" hidden="false" customHeight="false" outlineLevel="0" collapsed="false">
      <c r="A107" s="14"/>
      <c r="B107" s="14"/>
      <c r="C107" s="14"/>
      <c r="D107" s="14"/>
      <c r="E107" s="14"/>
      <c r="F107" s="14"/>
      <c r="G107" s="15" t="str">
        <f aca="false">IF($B107="","",IF($M107=0,"✗ unknown species",IF($N107+$O107+$P107&gt;$C107,"✗ allocated more than fish weight",IF($D107+$E107+$F107&gt;$N107+$O107+$P107,"✗ some value-added not applied — 15 lb min per fish / species not eligible — bills as fillet",IF(AND(INDEX(Rates!$B$27:$B$35,$M107)=1,$C107&gt;=Rates!$B$24,$C107&lt;=Rates!$C$24),"~ borderline 10–14 lb — tier may flip at the scale","✓")))))</f>
        <v/>
      </c>
      <c r="H107" s="15" t="str">
        <f aca="false">IF($B107="","",IF($Q107=1,"under-12",""))</f>
        <v/>
      </c>
      <c r="I107" s="15" t="str">
        <f aca="false">IF($M107=0,"",MAX(0,$C107-($N107+$O107+$P107)))</f>
        <v/>
      </c>
      <c r="J107" s="16" t="n">
        <f aca="false">IF($M107=0,0,MAX(0,$C107-($N107+$O107+$P107))*IF($Q107=1,Rates!$B$7,Rates!$B$6)+$N107*Rates!$B$8+$O107*Rates!$B$9+$P107*Rates!$B$10)</f>
        <v>0</v>
      </c>
      <c r="K107" s="16" t="n">
        <f aca="false">IF($M107=0,0,MAX(0,$C107-($N107+$O107+$P107))*IF($Q107=1,Rates!$C$7,Rates!$C$6)+$N107*Rates!$C$8+$O107*Rates!$C$9+$P107*Rates!$C$10)</f>
        <v>0</v>
      </c>
      <c r="M107" s="3" t="n">
        <f aca="false">IFERROR(MATCH($B107,Rates!$A$27:$A$35,0),0)</f>
        <v>0</v>
      </c>
      <c r="N107" s="3" t="n">
        <f aca="false">IF($M107=0,0,IF(AND(INDEX(Rates!$C$27:$C$35,$M107)=1,$D107&gt;=Rates!$B$22),$D107,0))</f>
        <v>0</v>
      </c>
      <c r="O107" s="3" t="n">
        <f aca="false">IF($M107=0,0,IF(AND(INDEX(Rates!$D$27:$D$35,$M107)=1,$E107&gt;=Rates!$B$22),$E107,0))</f>
        <v>0</v>
      </c>
      <c r="P107" s="3" t="n">
        <f aca="false">IF($M107=0,0,IF(AND(INDEX(Rates!$E$27:$E$35,$M107)=1,$F107&gt;=Rates!$B$22),$F107,0))</f>
        <v>0</v>
      </c>
      <c r="Q107" s="3" t="n">
        <f aca="false">IF($M107=0,0,IF(AND(INDEX(Rates!$B$27:$B$35,$M107)=1,$C107&lt;Rates!$B$23),1,0))</f>
        <v>0</v>
      </c>
    </row>
    <row r="108" customFormat="false" ht="15" hidden="false" customHeight="false" outlineLevel="0" collapsed="false">
      <c r="A108" s="14"/>
      <c r="B108" s="14"/>
      <c r="C108" s="14"/>
      <c r="D108" s="14"/>
      <c r="E108" s="14"/>
      <c r="F108" s="14"/>
      <c r="G108" s="15" t="str">
        <f aca="false">IF($B108="","",IF($M108=0,"✗ unknown species",IF($N108+$O108+$P108&gt;$C108,"✗ allocated more than fish weight",IF($D108+$E108+$F108&gt;$N108+$O108+$P108,"✗ some value-added not applied — 15 lb min per fish / species not eligible — bills as fillet",IF(AND(INDEX(Rates!$B$27:$B$35,$M108)=1,$C108&gt;=Rates!$B$24,$C108&lt;=Rates!$C$24),"~ borderline 10–14 lb — tier may flip at the scale","✓")))))</f>
        <v/>
      </c>
      <c r="H108" s="15" t="str">
        <f aca="false">IF($B108="","",IF($Q108=1,"under-12",""))</f>
        <v/>
      </c>
      <c r="I108" s="15" t="str">
        <f aca="false">IF($M108=0,"",MAX(0,$C108-($N108+$O108+$P108)))</f>
        <v/>
      </c>
      <c r="J108" s="16" t="n">
        <f aca="false">IF($M108=0,0,MAX(0,$C108-($N108+$O108+$P108))*IF($Q108=1,Rates!$B$7,Rates!$B$6)+$N108*Rates!$B$8+$O108*Rates!$B$9+$P108*Rates!$B$10)</f>
        <v>0</v>
      </c>
      <c r="K108" s="16" t="n">
        <f aca="false">IF($M108=0,0,MAX(0,$C108-($N108+$O108+$P108))*IF($Q108=1,Rates!$C$7,Rates!$C$6)+$N108*Rates!$C$8+$O108*Rates!$C$9+$P108*Rates!$C$10)</f>
        <v>0</v>
      </c>
      <c r="M108" s="3" t="n">
        <f aca="false">IFERROR(MATCH($B108,Rates!$A$27:$A$35,0),0)</f>
        <v>0</v>
      </c>
      <c r="N108" s="3" t="n">
        <f aca="false">IF($M108=0,0,IF(AND(INDEX(Rates!$C$27:$C$35,$M108)=1,$D108&gt;=Rates!$B$22),$D108,0))</f>
        <v>0</v>
      </c>
      <c r="O108" s="3" t="n">
        <f aca="false">IF($M108=0,0,IF(AND(INDEX(Rates!$D$27:$D$35,$M108)=1,$E108&gt;=Rates!$B$22),$E108,0))</f>
        <v>0</v>
      </c>
      <c r="P108" s="3" t="n">
        <f aca="false">IF($M108=0,0,IF(AND(INDEX(Rates!$E$27:$E$35,$M108)=1,$F108&gt;=Rates!$B$22),$F108,0))</f>
        <v>0</v>
      </c>
      <c r="Q108" s="3" t="n">
        <f aca="false">IF($M108=0,0,IF(AND(INDEX(Rates!$B$27:$B$35,$M108)=1,$C108&lt;Rates!$B$23),1,0))</f>
        <v>0</v>
      </c>
    </row>
    <row r="109" customFormat="false" ht="15" hidden="false" customHeight="false" outlineLevel="0" collapsed="false">
      <c r="A109" s="14"/>
      <c r="B109" s="14"/>
      <c r="C109" s="14"/>
      <c r="D109" s="14"/>
      <c r="E109" s="14"/>
      <c r="F109" s="14"/>
      <c r="G109" s="15" t="str">
        <f aca="false">IF($B109="","",IF($M109=0,"✗ unknown species",IF($N109+$O109+$P109&gt;$C109,"✗ allocated more than fish weight",IF($D109+$E109+$F109&gt;$N109+$O109+$P109,"✗ some value-added not applied — 15 lb min per fish / species not eligible — bills as fillet",IF(AND(INDEX(Rates!$B$27:$B$35,$M109)=1,$C109&gt;=Rates!$B$24,$C109&lt;=Rates!$C$24),"~ borderline 10–14 lb — tier may flip at the scale","✓")))))</f>
        <v/>
      </c>
      <c r="H109" s="15" t="str">
        <f aca="false">IF($B109="","",IF($Q109=1,"under-12",""))</f>
        <v/>
      </c>
      <c r="I109" s="15" t="str">
        <f aca="false">IF($M109=0,"",MAX(0,$C109-($N109+$O109+$P109)))</f>
        <v/>
      </c>
      <c r="J109" s="16" t="n">
        <f aca="false">IF($M109=0,0,MAX(0,$C109-($N109+$O109+$P109))*IF($Q109=1,Rates!$B$7,Rates!$B$6)+$N109*Rates!$B$8+$O109*Rates!$B$9+$P109*Rates!$B$10)</f>
        <v>0</v>
      </c>
      <c r="K109" s="16" t="n">
        <f aca="false">IF($M109=0,0,MAX(0,$C109-($N109+$O109+$P109))*IF($Q109=1,Rates!$C$7,Rates!$C$6)+$N109*Rates!$C$8+$O109*Rates!$C$9+$P109*Rates!$C$10)</f>
        <v>0</v>
      </c>
      <c r="M109" s="3" t="n">
        <f aca="false">IFERROR(MATCH($B109,Rates!$A$27:$A$35,0),0)</f>
        <v>0</v>
      </c>
      <c r="N109" s="3" t="n">
        <f aca="false">IF($M109=0,0,IF(AND(INDEX(Rates!$C$27:$C$35,$M109)=1,$D109&gt;=Rates!$B$22),$D109,0))</f>
        <v>0</v>
      </c>
      <c r="O109" s="3" t="n">
        <f aca="false">IF($M109=0,0,IF(AND(INDEX(Rates!$D$27:$D$35,$M109)=1,$E109&gt;=Rates!$B$22),$E109,0))</f>
        <v>0</v>
      </c>
      <c r="P109" s="3" t="n">
        <f aca="false">IF($M109=0,0,IF(AND(INDEX(Rates!$E$27:$E$35,$M109)=1,$F109&gt;=Rates!$B$22),$F109,0))</f>
        <v>0</v>
      </c>
      <c r="Q109" s="3" t="n">
        <f aca="false">IF($M109=0,0,IF(AND(INDEX(Rates!$B$27:$B$35,$M109)=1,$C109&lt;Rates!$B$23),1,0))</f>
        <v>0</v>
      </c>
    </row>
    <row r="110" customFormat="false" ht="15" hidden="false" customHeight="false" outlineLevel="0" collapsed="false">
      <c r="A110" s="14"/>
      <c r="B110" s="14"/>
      <c r="C110" s="14"/>
      <c r="D110" s="14"/>
      <c r="E110" s="14"/>
      <c r="F110" s="14"/>
      <c r="G110" s="15" t="str">
        <f aca="false">IF($B110="","",IF($M110=0,"✗ unknown species",IF($N110+$O110+$P110&gt;$C110,"✗ allocated more than fish weight",IF($D110+$E110+$F110&gt;$N110+$O110+$P110,"✗ some value-added not applied — 15 lb min per fish / species not eligible — bills as fillet",IF(AND(INDEX(Rates!$B$27:$B$35,$M110)=1,$C110&gt;=Rates!$B$24,$C110&lt;=Rates!$C$24),"~ borderline 10–14 lb — tier may flip at the scale","✓")))))</f>
        <v/>
      </c>
      <c r="H110" s="15" t="str">
        <f aca="false">IF($B110="","",IF($Q110=1,"under-12",""))</f>
        <v/>
      </c>
      <c r="I110" s="15" t="str">
        <f aca="false">IF($M110=0,"",MAX(0,$C110-($N110+$O110+$P110)))</f>
        <v/>
      </c>
      <c r="J110" s="16" t="n">
        <f aca="false">IF($M110=0,0,MAX(0,$C110-($N110+$O110+$P110))*IF($Q110=1,Rates!$B$7,Rates!$B$6)+$N110*Rates!$B$8+$O110*Rates!$B$9+$P110*Rates!$B$10)</f>
        <v>0</v>
      </c>
      <c r="K110" s="16" t="n">
        <f aca="false">IF($M110=0,0,MAX(0,$C110-($N110+$O110+$P110))*IF($Q110=1,Rates!$C$7,Rates!$C$6)+$N110*Rates!$C$8+$O110*Rates!$C$9+$P110*Rates!$C$10)</f>
        <v>0</v>
      </c>
      <c r="M110" s="3" t="n">
        <f aca="false">IFERROR(MATCH($B110,Rates!$A$27:$A$35,0),0)</f>
        <v>0</v>
      </c>
      <c r="N110" s="3" t="n">
        <f aca="false">IF($M110=0,0,IF(AND(INDEX(Rates!$C$27:$C$35,$M110)=1,$D110&gt;=Rates!$B$22),$D110,0))</f>
        <v>0</v>
      </c>
      <c r="O110" s="3" t="n">
        <f aca="false">IF($M110=0,0,IF(AND(INDEX(Rates!$D$27:$D$35,$M110)=1,$E110&gt;=Rates!$B$22),$E110,0))</f>
        <v>0</v>
      </c>
      <c r="P110" s="3" t="n">
        <f aca="false">IF($M110=0,0,IF(AND(INDEX(Rates!$E$27:$E$35,$M110)=1,$F110&gt;=Rates!$B$22),$F110,0))</f>
        <v>0</v>
      </c>
      <c r="Q110" s="3" t="n">
        <f aca="false">IF($M110=0,0,IF(AND(INDEX(Rates!$B$27:$B$35,$M110)=1,$C110&lt;Rates!$B$23),1,0))</f>
        <v>0</v>
      </c>
    </row>
    <row r="111" customFormat="false" ht="15" hidden="false" customHeight="false" outlineLevel="0" collapsed="false">
      <c r="A111" s="14"/>
      <c r="B111" s="14"/>
      <c r="C111" s="14"/>
      <c r="D111" s="14"/>
      <c r="E111" s="14"/>
      <c r="F111" s="14"/>
      <c r="G111" s="15" t="str">
        <f aca="false">IF($B111="","",IF($M111=0,"✗ unknown species",IF($N111+$O111+$P111&gt;$C111,"✗ allocated more than fish weight",IF($D111+$E111+$F111&gt;$N111+$O111+$P111,"✗ some value-added not applied — 15 lb min per fish / species not eligible — bills as fillet",IF(AND(INDEX(Rates!$B$27:$B$35,$M111)=1,$C111&gt;=Rates!$B$24,$C111&lt;=Rates!$C$24),"~ borderline 10–14 lb — tier may flip at the scale","✓")))))</f>
        <v/>
      </c>
      <c r="H111" s="15" t="str">
        <f aca="false">IF($B111="","",IF($Q111=1,"under-12",""))</f>
        <v/>
      </c>
      <c r="I111" s="15" t="str">
        <f aca="false">IF($M111=0,"",MAX(0,$C111-($N111+$O111+$P111)))</f>
        <v/>
      </c>
      <c r="J111" s="16" t="n">
        <f aca="false">IF($M111=0,0,MAX(0,$C111-($N111+$O111+$P111))*IF($Q111=1,Rates!$B$7,Rates!$B$6)+$N111*Rates!$B$8+$O111*Rates!$B$9+$P111*Rates!$B$10)</f>
        <v>0</v>
      </c>
      <c r="K111" s="16" t="n">
        <f aca="false">IF($M111=0,0,MAX(0,$C111-($N111+$O111+$P111))*IF($Q111=1,Rates!$C$7,Rates!$C$6)+$N111*Rates!$C$8+$O111*Rates!$C$9+$P111*Rates!$C$10)</f>
        <v>0</v>
      </c>
      <c r="M111" s="3" t="n">
        <f aca="false">IFERROR(MATCH($B111,Rates!$A$27:$A$35,0),0)</f>
        <v>0</v>
      </c>
      <c r="N111" s="3" t="n">
        <f aca="false">IF($M111=0,0,IF(AND(INDEX(Rates!$C$27:$C$35,$M111)=1,$D111&gt;=Rates!$B$22),$D111,0))</f>
        <v>0</v>
      </c>
      <c r="O111" s="3" t="n">
        <f aca="false">IF($M111=0,0,IF(AND(INDEX(Rates!$D$27:$D$35,$M111)=1,$E111&gt;=Rates!$B$22),$E111,0))</f>
        <v>0</v>
      </c>
      <c r="P111" s="3" t="n">
        <f aca="false">IF($M111=0,0,IF(AND(INDEX(Rates!$E$27:$E$35,$M111)=1,$F111&gt;=Rates!$B$22),$F111,0))</f>
        <v>0</v>
      </c>
      <c r="Q111" s="3" t="n">
        <f aca="false">IF($M111=0,0,IF(AND(INDEX(Rates!$B$27:$B$35,$M111)=1,$C111&lt;Rates!$B$23),1,0))</f>
        <v>0</v>
      </c>
    </row>
    <row r="112" customFormat="false" ht="15" hidden="false" customHeight="false" outlineLevel="0" collapsed="false">
      <c r="A112" s="14"/>
      <c r="B112" s="14"/>
      <c r="C112" s="14"/>
      <c r="D112" s="14"/>
      <c r="E112" s="14"/>
      <c r="F112" s="14"/>
      <c r="G112" s="15" t="str">
        <f aca="false">IF($B112="","",IF($M112=0,"✗ unknown species",IF($N112+$O112+$P112&gt;$C112,"✗ allocated more than fish weight",IF($D112+$E112+$F112&gt;$N112+$O112+$P112,"✗ some value-added not applied — 15 lb min per fish / species not eligible — bills as fillet",IF(AND(INDEX(Rates!$B$27:$B$35,$M112)=1,$C112&gt;=Rates!$B$24,$C112&lt;=Rates!$C$24),"~ borderline 10–14 lb — tier may flip at the scale","✓")))))</f>
        <v/>
      </c>
      <c r="H112" s="15" t="str">
        <f aca="false">IF($B112="","",IF($Q112=1,"under-12",""))</f>
        <v/>
      </c>
      <c r="I112" s="15" t="str">
        <f aca="false">IF($M112=0,"",MAX(0,$C112-($N112+$O112+$P112)))</f>
        <v/>
      </c>
      <c r="J112" s="16" t="n">
        <f aca="false">IF($M112=0,0,MAX(0,$C112-($N112+$O112+$P112))*IF($Q112=1,Rates!$B$7,Rates!$B$6)+$N112*Rates!$B$8+$O112*Rates!$B$9+$P112*Rates!$B$10)</f>
        <v>0</v>
      </c>
      <c r="K112" s="16" t="n">
        <f aca="false">IF($M112=0,0,MAX(0,$C112-($N112+$O112+$P112))*IF($Q112=1,Rates!$C$7,Rates!$C$6)+$N112*Rates!$C$8+$O112*Rates!$C$9+$P112*Rates!$C$10)</f>
        <v>0</v>
      </c>
      <c r="M112" s="3" t="n">
        <f aca="false">IFERROR(MATCH($B112,Rates!$A$27:$A$35,0),0)</f>
        <v>0</v>
      </c>
      <c r="N112" s="3" t="n">
        <f aca="false">IF($M112=0,0,IF(AND(INDEX(Rates!$C$27:$C$35,$M112)=1,$D112&gt;=Rates!$B$22),$D112,0))</f>
        <v>0</v>
      </c>
      <c r="O112" s="3" t="n">
        <f aca="false">IF($M112=0,0,IF(AND(INDEX(Rates!$D$27:$D$35,$M112)=1,$E112&gt;=Rates!$B$22),$E112,0))</f>
        <v>0</v>
      </c>
      <c r="P112" s="3" t="n">
        <f aca="false">IF($M112=0,0,IF(AND(INDEX(Rates!$E$27:$E$35,$M112)=1,$F112&gt;=Rates!$B$22),$F112,0))</f>
        <v>0</v>
      </c>
      <c r="Q112" s="3" t="n">
        <f aca="false">IF($M112=0,0,IF(AND(INDEX(Rates!$B$27:$B$35,$M112)=1,$C112&lt;Rates!$B$23),1,0))</f>
        <v>0</v>
      </c>
    </row>
    <row r="113" customFormat="false" ht="15" hidden="false" customHeight="false" outlineLevel="0" collapsed="false">
      <c r="A113" s="14"/>
      <c r="B113" s="14"/>
      <c r="C113" s="14"/>
      <c r="D113" s="14"/>
      <c r="E113" s="14"/>
      <c r="F113" s="14"/>
      <c r="G113" s="15" t="str">
        <f aca="false">IF($B113="","",IF($M113=0,"✗ unknown species",IF($N113+$O113+$P113&gt;$C113,"✗ allocated more than fish weight",IF($D113+$E113+$F113&gt;$N113+$O113+$P113,"✗ some value-added not applied — 15 lb min per fish / species not eligible — bills as fillet",IF(AND(INDEX(Rates!$B$27:$B$35,$M113)=1,$C113&gt;=Rates!$B$24,$C113&lt;=Rates!$C$24),"~ borderline 10–14 lb — tier may flip at the scale","✓")))))</f>
        <v/>
      </c>
      <c r="H113" s="15" t="str">
        <f aca="false">IF($B113="","",IF($Q113=1,"under-12",""))</f>
        <v/>
      </c>
      <c r="I113" s="15" t="str">
        <f aca="false">IF($M113=0,"",MAX(0,$C113-($N113+$O113+$P113)))</f>
        <v/>
      </c>
      <c r="J113" s="16" t="n">
        <f aca="false">IF($M113=0,0,MAX(0,$C113-($N113+$O113+$P113))*IF($Q113=1,Rates!$B$7,Rates!$B$6)+$N113*Rates!$B$8+$O113*Rates!$B$9+$P113*Rates!$B$10)</f>
        <v>0</v>
      </c>
      <c r="K113" s="16" t="n">
        <f aca="false">IF($M113=0,0,MAX(0,$C113-($N113+$O113+$P113))*IF($Q113=1,Rates!$C$7,Rates!$C$6)+$N113*Rates!$C$8+$O113*Rates!$C$9+$P113*Rates!$C$10)</f>
        <v>0</v>
      </c>
      <c r="M113" s="3" t="n">
        <f aca="false">IFERROR(MATCH($B113,Rates!$A$27:$A$35,0),0)</f>
        <v>0</v>
      </c>
      <c r="N113" s="3" t="n">
        <f aca="false">IF($M113=0,0,IF(AND(INDEX(Rates!$C$27:$C$35,$M113)=1,$D113&gt;=Rates!$B$22),$D113,0))</f>
        <v>0</v>
      </c>
      <c r="O113" s="3" t="n">
        <f aca="false">IF($M113=0,0,IF(AND(INDEX(Rates!$D$27:$D$35,$M113)=1,$E113&gt;=Rates!$B$22),$E113,0))</f>
        <v>0</v>
      </c>
      <c r="P113" s="3" t="n">
        <f aca="false">IF($M113=0,0,IF(AND(INDEX(Rates!$E$27:$E$35,$M113)=1,$F113&gt;=Rates!$B$22),$F113,0))</f>
        <v>0</v>
      </c>
      <c r="Q113" s="3" t="n">
        <f aca="false">IF($M113=0,0,IF(AND(INDEX(Rates!$B$27:$B$35,$M113)=1,$C113&lt;Rates!$B$23),1,0))</f>
        <v>0</v>
      </c>
    </row>
    <row r="114" customFormat="false" ht="15" hidden="false" customHeight="false" outlineLevel="0" collapsed="false">
      <c r="A114" s="14"/>
      <c r="B114" s="14"/>
      <c r="C114" s="14"/>
      <c r="D114" s="14"/>
      <c r="E114" s="14"/>
      <c r="F114" s="14"/>
      <c r="G114" s="15" t="str">
        <f aca="false">IF($B114="","",IF($M114=0,"✗ unknown species",IF($N114+$O114+$P114&gt;$C114,"✗ allocated more than fish weight",IF($D114+$E114+$F114&gt;$N114+$O114+$P114,"✗ some value-added not applied — 15 lb min per fish / species not eligible — bills as fillet",IF(AND(INDEX(Rates!$B$27:$B$35,$M114)=1,$C114&gt;=Rates!$B$24,$C114&lt;=Rates!$C$24),"~ borderline 10–14 lb — tier may flip at the scale","✓")))))</f>
        <v/>
      </c>
      <c r="H114" s="15" t="str">
        <f aca="false">IF($B114="","",IF($Q114=1,"under-12",""))</f>
        <v/>
      </c>
      <c r="I114" s="15" t="str">
        <f aca="false">IF($M114=0,"",MAX(0,$C114-($N114+$O114+$P114)))</f>
        <v/>
      </c>
      <c r="J114" s="16" t="n">
        <f aca="false">IF($M114=0,0,MAX(0,$C114-($N114+$O114+$P114))*IF($Q114=1,Rates!$B$7,Rates!$B$6)+$N114*Rates!$B$8+$O114*Rates!$B$9+$P114*Rates!$B$10)</f>
        <v>0</v>
      </c>
      <c r="K114" s="16" t="n">
        <f aca="false">IF($M114=0,0,MAX(0,$C114-($N114+$O114+$P114))*IF($Q114=1,Rates!$C$7,Rates!$C$6)+$N114*Rates!$C$8+$O114*Rates!$C$9+$P114*Rates!$C$10)</f>
        <v>0</v>
      </c>
      <c r="M114" s="3" t="n">
        <f aca="false">IFERROR(MATCH($B114,Rates!$A$27:$A$35,0),0)</f>
        <v>0</v>
      </c>
      <c r="N114" s="3" t="n">
        <f aca="false">IF($M114=0,0,IF(AND(INDEX(Rates!$C$27:$C$35,$M114)=1,$D114&gt;=Rates!$B$22),$D114,0))</f>
        <v>0</v>
      </c>
      <c r="O114" s="3" t="n">
        <f aca="false">IF($M114=0,0,IF(AND(INDEX(Rates!$D$27:$D$35,$M114)=1,$E114&gt;=Rates!$B$22),$E114,0))</f>
        <v>0</v>
      </c>
      <c r="P114" s="3" t="n">
        <f aca="false">IF($M114=0,0,IF(AND(INDEX(Rates!$E$27:$E$35,$M114)=1,$F114&gt;=Rates!$B$22),$F114,0))</f>
        <v>0</v>
      </c>
      <c r="Q114" s="3" t="n">
        <f aca="false">IF($M114=0,0,IF(AND(INDEX(Rates!$B$27:$B$35,$M114)=1,$C114&lt;Rates!$B$23),1,0))</f>
        <v>0</v>
      </c>
    </row>
    <row r="115" customFormat="false" ht="15" hidden="false" customHeight="false" outlineLevel="0" collapsed="false">
      <c r="A115" s="14"/>
      <c r="B115" s="14"/>
      <c r="C115" s="14"/>
      <c r="D115" s="14"/>
      <c r="E115" s="14"/>
      <c r="F115" s="14"/>
      <c r="G115" s="15" t="str">
        <f aca="false">IF($B115="","",IF($M115=0,"✗ unknown species",IF($N115+$O115+$P115&gt;$C115,"✗ allocated more than fish weight",IF($D115+$E115+$F115&gt;$N115+$O115+$P115,"✗ some value-added not applied — 15 lb min per fish / species not eligible — bills as fillet",IF(AND(INDEX(Rates!$B$27:$B$35,$M115)=1,$C115&gt;=Rates!$B$24,$C115&lt;=Rates!$C$24),"~ borderline 10–14 lb — tier may flip at the scale","✓")))))</f>
        <v/>
      </c>
      <c r="H115" s="15" t="str">
        <f aca="false">IF($B115="","",IF($Q115=1,"under-12",""))</f>
        <v/>
      </c>
      <c r="I115" s="15" t="str">
        <f aca="false">IF($M115=0,"",MAX(0,$C115-($N115+$O115+$P115)))</f>
        <v/>
      </c>
      <c r="J115" s="16" t="n">
        <f aca="false">IF($M115=0,0,MAX(0,$C115-($N115+$O115+$P115))*IF($Q115=1,Rates!$B$7,Rates!$B$6)+$N115*Rates!$B$8+$O115*Rates!$B$9+$P115*Rates!$B$10)</f>
        <v>0</v>
      </c>
      <c r="K115" s="16" t="n">
        <f aca="false">IF($M115=0,0,MAX(0,$C115-($N115+$O115+$P115))*IF($Q115=1,Rates!$C$7,Rates!$C$6)+$N115*Rates!$C$8+$O115*Rates!$C$9+$P115*Rates!$C$10)</f>
        <v>0</v>
      </c>
      <c r="M115" s="3" t="n">
        <f aca="false">IFERROR(MATCH($B115,Rates!$A$27:$A$35,0),0)</f>
        <v>0</v>
      </c>
      <c r="N115" s="3" t="n">
        <f aca="false">IF($M115=0,0,IF(AND(INDEX(Rates!$C$27:$C$35,$M115)=1,$D115&gt;=Rates!$B$22),$D115,0))</f>
        <v>0</v>
      </c>
      <c r="O115" s="3" t="n">
        <f aca="false">IF($M115=0,0,IF(AND(INDEX(Rates!$D$27:$D$35,$M115)=1,$E115&gt;=Rates!$B$22),$E115,0))</f>
        <v>0</v>
      </c>
      <c r="P115" s="3" t="n">
        <f aca="false">IF($M115=0,0,IF(AND(INDEX(Rates!$E$27:$E$35,$M115)=1,$F115&gt;=Rates!$B$22),$F115,0))</f>
        <v>0</v>
      </c>
      <c r="Q115" s="3" t="n">
        <f aca="false">IF($M115=0,0,IF(AND(INDEX(Rates!$B$27:$B$35,$M115)=1,$C115&lt;Rates!$B$23),1,0))</f>
        <v>0</v>
      </c>
    </row>
    <row r="116" customFormat="false" ht="15" hidden="false" customHeight="false" outlineLevel="0" collapsed="false">
      <c r="A116" s="14"/>
      <c r="B116" s="14"/>
      <c r="C116" s="14"/>
      <c r="D116" s="14"/>
      <c r="E116" s="14"/>
      <c r="F116" s="14"/>
      <c r="G116" s="15" t="str">
        <f aca="false">IF($B116="","",IF($M116=0,"✗ unknown species",IF($N116+$O116+$P116&gt;$C116,"✗ allocated more than fish weight",IF($D116+$E116+$F116&gt;$N116+$O116+$P116,"✗ some value-added not applied — 15 lb min per fish / species not eligible — bills as fillet",IF(AND(INDEX(Rates!$B$27:$B$35,$M116)=1,$C116&gt;=Rates!$B$24,$C116&lt;=Rates!$C$24),"~ borderline 10–14 lb — tier may flip at the scale","✓")))))</f>
        <v/>
      </c>
      <c r="H116" s="15" t="str">
        <f aca="false">IF($B116="","",IF($Q116=1,"under-12",""))</f>
        <v/>
      </c>
      <c r="I116" s="15" t="str">
        <f aca="false">IF($M116=0,"",MAX(0,$C116-($N116+$O116+$P116)))</f>
        <v/>
      </c>
      <c r="J116" s="16" t="n">
        <f aca="false">IF($M116=0,0,MAX(0,$C116-($N116+$O116+$P116))*IF($Q116=1,Rates!$B$7,Rates!$B$6)+$N116*Rates!$B$8+$O116*Rates!$B$9+$P116*Rates!$B$10)</f>
        <v>0</v>
      </c>
      <c r="K116" s="16" t="n">
        <f aca="false">IF($M116=0,0,MAX(0,$C116-($N116+$O116+$P116))*IF($Q116=1,Rates!$C$7,Rates!$C$6)+$N116*Rates!$C$8+$O116*Rates!$C$9+$P116*Rates!$C$10)</f>
        <v>0</v>
      </c>
      <c r="M116" s="3" t="n">
        <f aca="false">IFERROR(MATCH($B116,Rates!$A$27:$A$35,0),0)</f>
        <v>0</v>
      </c>
      <c r="N116" s="3" t="n">
        <f aca="false">IF($M116=0,0,IF(AND(INDEX(Rates!$C$27:$C$35,$M116)=1,$D116&gt;=Rates!$B$22),$D116,0))</f>
        <v>0</v>
      </c>
      <c r="O116" s="3" t="n">
        <f aca="false">IF($M116=0,0,IF(AND(INDEX(Rates!$D$27:$D$35,$M116)=1,$E116&gt;=Rates!$B$22),$E116,0))</f>
        <v>0</v>
      </c>
      <c r="P116" s="3" t="n">
        <f aca="false">IF($M116=0,0,IF(AND(INDEX(Rates!$E$27:$E$35,$M116)=1,$F116&gt;=Rates!$B$22),$F116,0))</f>
        <v>0</v>
      </c>
      <c r="Q116" s="3" t="n">
        <f aca="false">IF($M116=0,0,IF(AND(INDEX(Rates!$B$27:$B$35,$M116)=1,$C116&lt;Rates!$B$23),1,0))</f>
        <v>0</v>
      </c>
    </row>
    <row r="117" customFormat="false" ht="15" hidden="false" customHeight="false" outlineLevel="0" collapsed="false">
      <c r="A117" s="14"/>
      <c r="B117" s="14"/>
      <c r="C117" s="14"/>
      <c r="D117" s="14"/>
      <c r="E117" s="14"/>
      <c r="F117" s="14"/>
      <c r="G117" s="15" t="str">
        <f aca="false">IF($B117="","",IF($M117=0,"✗ unknown species",IF($N117+$O117+$P117&gt;$C117,"✗ allocated more than fish weight",IF($D117+$E117+$F117&gt;$N117+$O117+$P117,"✗ some value-added not applied — 15 lb min per fish / species not eligible — bills as fillet",IF(AND(INDEX(Rates!$B$27:$B$35,$M117)=1,$C117&gt;=Rates!$B$24,$C117&lt;=Rates!$C$24),"~ borderline 10–14 lb — tier may flip at the scale","✓")))))</f>
        <v/>
      </c>
      <c r="H117" s="15" t="str">
        <f aca="false">IF($B117="","",IF($Q117=1,"under-12",""))</f>
        <v/>
      </c>
      <c r="I117" s="15" t="str">
        <f aca="false">IF($M117=0,"",MAX(0,$C117-($N117+$O117+$P117)))</f>
        <v/>
      </c>
      <c r="J117" s="16" t="n">
        <f aca="false">IF($M117=0,0,MAX(0,$C117-($N117+$O117+$P117))*IF($Q117=1,Rates!$B$7,Rates!$B$6)+$N117*Rates!$B$8+$O117*Rates!$B$9+$P117*Rates!$B$10)</f>
        <v>0</v>
      </c>
      <c r="K117" s="16" t="n">
        <f aca="false">IF($M117=0,0,MAX(0,$C117-($N117+$O117+$P117))*IF($Q117=1,Rates!$C$7,Rates!$C$6)+$N117*Rates!$C$8+$O117*Rates!$C$9+$P117*Rates!$C$10)</f>
        <v>0</v>
      </c>
      <c r="M117" s="3" t="n">
        <f aca="false">IFERROR(MATCH($B117,Rates!$A$27:$A$35,0),0)</f>
        <v>0</v>
      </c>
      <c r="N117" s="3" t="n">
        <f aca="false">IF($M117=0,0,IF(AND(INDEX(Rates!$C$27:$C$35,$M117)=1,$D117&gt;=Rates!$B$22),$D117,0))</f>
        <v>0</v>
      </c>
      <c r="O117" s="3" t="n">
        <f aca="false">IF($M117=0,0,IF(AND(INDEX(Rates!$D$27:$D$35,$M117)=1,$E117&gt;=Rates!$B$22),$E117,0))</f>
        <v>0</v>
      </c>
      <c r="P117" s="3" t="n">
        <f aca="false">IF($M117=0,0,IF(AND(INDEX(Rates!$E$27:$E$35,$M117)=1,$F117&gt;=Rates!$B$22),$F117,0))</f>
        <v>0</v>
      </c>
      <c r="Q117" s="3" t="n">
        <f aca="false">IF($M117=0,0,IF(AND(INDEX(Rates!$B$27:$B$35,$M117)=1,$C117&lt;Rates!$B$23),1,0))</f>
        <v>0</v>
      </c>
    </row>
    <row r="118" customFormat="false" ht="15" hidden="false" customHeight="false" outlineLevel="0" collapsed="false">
      <c r="A118" s="14"/>
      <c r="B118" s="14"/>
      <c r="C118" s="14"/>
      <c r="D118" s="14"/>
      <c r="E118" s="14"/>
      <c r="F118" s="14"/>
      <c r="G118" s="15" t="str">
        <f aca="false">IF($B118="","",IF($M118=0,"✗ unknown species",IF($N118+$O118+$P118&gt;$C118,"✗ allocated more than fish weight",IF($D118+$E118+$F118&gt;$N118+$O118+$P118,"✗ some value-added not applied — 15 lb min per fish / species not eligible — bills as fillet",IF(AND(INDEX(Rates!$B$27:$B$35,$M118)=1,$C118&gt;=Rates!$B$24,$C118&lt;=Rates!$C$24),"~ borderline 10–14 lb — tier may flip at the scale","✓")))))</f>
        <v/>
      </c>
      <c r="H118" s="15" t="str">
        <f aca="false">IF($B118="","",IF($Q118=1,"under-12",""))</f>
        <v/>
      </c>
      <c r="I118" s="15" t="str">
        <f aca="false">IF($M118=0,"",MAX(0,$C118-($N118+$O118+$P118)))</f>
        <v/>
      </c>
      <c r="J118" s="16" t="n">
        <f aca="false">IF($M118=0,0,MAX(0,$C118-($N118+$O118+$P118))*IF($Q118=1,Rates!$B$7,Rates!$B$6)+$N118*Rates!$B$8+$O118*Rates!$B$9+$P118*Rates!$B$10)</f>
        <v>0</v>
      </c>
      <c r="K118" s="16" t="n">
        <f aca="false">IF($M118=0,0,MAX(0,$C118-($N118+$O118+$P118))*IF($Q118=1,Rates!$C$7,Rates!$C$6)+$N118*Rates!$C$8+$O118*Rates!$C$9+$P118*Rates!$C$10)</f>
        <v>0</v>
      </c>
      <c r="M118" s="3" t="n">
        <f aca="false">IFERROR(MATCH($B118,Rates!$A$27:$A$35,0),0)</f>
        <v>0</v>
      </c>
      <c r="N118" s="3" t="n">
        <f aca="false">IF($M118=0,0,IF(AND(INDEX(Rates!$C$27:$C$35,$M118)=1,$D118&gt;=Rates!$B$22),$D118,0))</f>
        <v>0</v>
      </c>
      <c r="O118" s="3" t="n">
        <f aca="false">IF($M118=0,0,IF(AND(INDEX(Rates!$D$27:$D$35,$M118)=1,$E118&gt;=Rates!$B$22),$E118,0))</f>
        <v>0</v>
      </c>
      <c r="P118" s="3" t="n">
        <f aca="false">IF($M118=0,0,IF(AND(INDEX(Rates!$E$27:$E$35,$M118)=1,$F118&gt;=Rates!$B$22),$F118,0))</f>
        <v>0</v>
      </c>
      <c r="Q118" s="3" t="n">
        <f aca="false">IF($M118=0,0,IF(AND(INDEX(Rates!$B$27:$B$35,$M118)=1,$C118&lt;Rates!$B$23),1,0))</f>
        <v>0</v>
      </c>
    </row>
    <row r="119" customFormat="false" ht="15" hidden="false" customHeight="false" outlineLevel="0" collapsed="false">
      <c r="A119" s="14"/>
      <c r="B119" s="14"/>
      <c r="C119" s="14"/>
      <c r="D119" s="14"/>
      <c r="E119" s="14"/>
      <c r="F119" s="14"/>
      <c r="G119" s="15" t="str">
        <f aca="false">IF($B119="","",IF($M119=0,"✗ unknown species",IF($N119+$O119+$P119&gt;$C119,"✗ allocated more than fish weight",IF($D119+$E119+$F119&gt;$N119+$O119+$P119,"✗ some value-added not applied — 15 lb min per fish / species not eligible — bills as fillet",IF(AND(INDEX(Rates!$B$27:$B$35,$M119)=1,$C119&gt;=Rates!$B$24,$C119&lt;=Rates!$C$24),"~ borderline 10–14 lb — tier may flip at the scale","✓")))))</f>
        <v/>
      </c>
      <c r="H119" s="15" t="str">
        <f aca="false">IF($B119="","",IF($Q119=1,"under-12",""))</f>
        <v/>
      </c>
      <c r="I119" s="15" t="str">
        <f aca="false">IF($M119=0,"",MAX(0,$C119-($N119+$O119+$P119)))</f>
        <v/>
      </c>
      <c r="J119" s="16" t="n">
        <f aca="false">IF($M119=0,0,MAX(0,$C119-($N119+$O119+$P119))*IF($Q119=1,Rates!$B$7,Rates!$B$6)+$N119*Rates!$B$8+$O119*Rates!$B$9+$P119*Rates!$B$10)</f>
        <v>0</v>
      </c>
      <c r="K119" s="16" t="n">
        <f aca="false">IF($M119=0,0,MAX(0,$C119-($N119+$O119+$P119))*IF($Q119=1,Rates!$C$7,Rates!$C$6)+$N119*Rates!$C$8+$O119*Rates!$C$9+$P119*Rates!$C$10)</f>
        <v>0</v>
      </c>
      <c r="M119" s="3" t="n">
        <f aca="false">IFERROR(MATCH($B119,Rates!$A$27:$A$35,0),0)</f>
        <v>0</v>
      </c>
      <c r="N119" s="3" t="n">
        <f aca="false">IF($M119=0,0,IF(AND(INDEX(Rates!$C$27:$C$35,$M119)=1,$D119&gt;=Rates!$B$22),$D119,0))</f>
        <v>0</v>
      </c>
      <c r="O119" s="3" t="n">
        <f aca="false">IF($M119=0,0,IF(AND(INDEX(Rates!$D$27:$D$35,$M119)=1,$E119&gt;=Rates!$B$22),$E119,0))</f>
        <v>0</v>
      </c>
      <c r="P119" s="3" t="n">
        <f aca="false">IF($M119=0,0,IF(AND(INDEX(Rates!$E$27:$E$35,$M119)=1,$F119&gt;=Rates!$B$22),$F119,0))</f>
        <v>0</v>
      </c>
      <c r="Q119" s="3" t="n">
        <f aca="false">IF($M119=0,0,IF(AND(INDEX(Rates!$B$27:$B$35,$M119)=1,$C119&lt;Rates!$B$23),1,0))</f>
        <v>0</v>
      </c>
    </row>
    <row r="120" customFormat="false" ht="15" hidden="false" customHeight="false" outlineLevel="0" collapsed="false">
      <c r="A120" s="14"/>
      <c r="B120" s="14"/>
      <c r="C120" s="14"/>
      <c r="D120" s="14"/>
      <c r="E120" s="14"/>
      <c r="F120" s="14"/>
      <c r="G120" s="15" t="str">
        <f aca="false">IF($B120="","",IF($M120=0,"✗ unknown species",IF($N120+$O120+$P120&gt;$C120,"✗ allocated more than fish weight",IF($D120+$E120+$F120&gt;$N120+$O120+$P120,"✗ some value-added not applied — 15 lb min per fish / species not eligible — bills as fillet",IF(AND(INDEX(Rates!$B$27:$B$35,$M120)=1,$C120&gt;=Rates!$B$24,$C120&lt;=Rates!$C$24),"~ borderline 10–14 lb — tier may flip at the scale","✓")))))</f>
        <v/>
      </c>
      <c r="H120" s="15" t="str">
        <f aca="false">IF($B120="","",IF($Q120=1,"under-12",""))</f>
        <v/>
      </c>
      <c r="I120" s="15" t="str">
        <f aca="false">IF($M120=0,"",MAX(0,$C120-($N120+$O120+$P120)))</f>
        <v/>
      </c>
      <c r="J120" s="16" t="n">
        <f aca="false">IF($M120=0,0,MAX(0,$C120-($N120+$O120+$P120))*IF($Q120=1,Rates!$B$7,Rates!$B$6)+$N120*Rates!$B$8+$O120*Rates!$B$9+$P120*Rates!$B$10)</f>
        <v>0</v>
      </c>
      <c r="K120" s="16" t="n">
        <f aca="false">IF($M120=0,0,MAX(0,$C120-($N120+$O120+$P120))*IF($Q120=1,Rates!$C$7,Rates!$C$6)+$N120*Rates!$C$8+$O120*Rates!$C$9+$P120*Rates!$C$10)</f>
        <v>0</v>
      </c>
      <c r="M120" s="3" t="n">
        <f aca="false">IFERROR(MATCH($B120,Rates!$A$27:$A$35,0),0)</f>
        <v>0</v>
      </c>
      <c r="N120" s="3" t="n">
        <f aca="false">IF($M120=0,0,IF(AND(INDEX(Rates!$C$27:$C$35,$M120)=1,$D120&gt;=Rates!$B$22),$D120,0))</f>
        <v>0</v>
      </c>
      <c r="O120" s="3" t="n">
        <f aca="false">IF($M120=0,0,IF(AND(INDEX(Rates!$D$27:$D$35,$M120)=1,$E120&gt;=Rates!$B$22),$E120,0))</f>
        <v>0</v>
      </c>
      <c r="P120" s="3" t="n">
        <f aca="false">IF($M120=0,0,IF(AND(INDEX(Rates!$E$27:$E$35,$M120)=1,$F120&gt;=Rates!$B$22),$F120,0))</f>
        <v>0</v>
      </c>
      <c r="Q120" s="3" t="n">
        <f aca="false">IF($M120=0,0,IF(AND(INDEX(Rates!$B$27:$B$35,$M120)=1,$C120&lt;Rates!$B$23),1,0))</f>
        <v>0</v>
      </c>
    </row>
    <row r="121" customFormat="false" ht="15" hidden="false" customHeight="false" outlineLevel="0" collapsed="false">
      <c r="A121" s="14"/>
      <c r="B121" s="14"/>
      <c r="C121" s="14"/>
      <c r="D121" s="14"/>
      <c r="E121" s="14"/>
      <c r="F121" s="14"/>
      <c r="G121" s="15" t="str">
        <f aca="false">IF($B121="","",IF($M121=0,"✗ unknown species",IF($N121+$O121+$P121&gt;$C121,"✗ allocated more than fish weight",IF($D121+$E121+$F121&gt;$N121+$O121+$P121,"✗ some value-added not applied — 15 lb min per fish / species not eligible — bills as fillet",IF(AND(INDEX(Rates!$B$27:$B$35,$M121)=1,$C121&gt;=Rates!$B$24,$C121&lt;=Rates!$C$24),"~ borderline 10–14 lb — tier may flip at the scale","✓")))))</f>
        <v/>
      </c>
      <c r="H121" s="15" t="str">
        <f aca="false">IF($B121="","",IF($Q121=1,"under-12",""))</f>
        <v/>
      </c>
      <c r="I121" s="15" t="str">
        <f aca="false">IF($M121=0,"",MAX(0,$C121-($N121+$O121+$P121)))</f>
        <v/>
      </c>
      <c r="J121" s="16" t="n">
        <f aca="false">IF($M121=0,0,MAX(0,$C121-($N121+$O121+$P121))*IF($Q121=1,Rates!$B$7,Rates!$B$6)+$N121*Rates!$B$8+$O121*Rates!$B$9+$P121*Rates!$B$10)</f>
        <v>0</v>
      </c>
      <c r="K121" s="16" t="n">
        <f aca="false">IF($M121=0,0,MAX(0,$C121-($N121+$O121+$P121))*IF($Q121=1,Rates!$C$7,Rates!$C$6)+$N121*Rates!$C$8+$O121*Rates!$C$9+$P121*Rates!$C$10)</f>
        <v>0</v>
      </c>
      <c r="M121" s="3" t="n">
        <f aca="false">IFERROR(MATCH($B121,Rates!$A$27:$A$35,0),0)</f>
        <v>0</v>
      </c>
      <c r="N121" s="3" t="n">
        <f aca="false">IF($M121=0,0,IF(AND(INDEX(Rates!$C$27:$C$35,$M121)=1,$D121&gt;=Rates!$B$22),$D121,0))</f>
        <v>0</v>
      </c>
      <c r="O121" s="3" t="n">
        <f aca="false">IF($M121=0,0,IF(AND(INDEX(Rates!$D$27:$D$35,$M121)=1,$E121&gt;=Rates!$B$22),$E121,0))</f>
        <v>0</v>
      </c>
      <c r="P121" s="3" t="n">
        <f aca="false">IF($M121=0,0,IF(AND(INDEX(Rates!$E$27:$E$35,$M121)=1,$F121&gt;=Rates!$B$22),$F121,0))</f>
        <v>0</v>
      </c>
      <c r="Q121" s="3" t="n">
        <f aca="false">IF($M121=0,0,IF(AND(INDEX(Rates!$B$27:$B$35,$M121)=1,$C121&lt;Rates!$B$23),1,0))</f>
        <v>0</v>
      </c>
    </row>
    <row r="122" customFormat="false" ht="15" hidden="false" customHeight="false" outlineLevel="0" collapsed="false">
      <c r="A122" s="14"/>
      <c r="B122" s="14"/>
      <c r="C122" s="14"/>
      <c r="D122" s="14"/>
      <c r="E122" s="14"/>
      <c r="F122" s="14"/>
      <c r="G122" s="15" t="str">
        <f aca="false">IF($B122="","",IF($M122=0,"✗ unknown species",IF($N122+$O122+$P122&gt;$C122,"✗ allocated more than fish weight",IF($D122+$E122+$F122&gt;$N122+$O122+$P122,"✗ some value-added not applied — 15 lb min per fish / species not eligible — bills as fillet",IF(AND(INDEX(Rates!$B$27:$B$35,$M122)=1,$C122&gt;=Rates!$B$24,$C122&lt;=Rates!$C$24),"~ borderline 10–14 lb — tier may flip at the scale","✓")))))</f>
        <v/>
      </c>
      <c r="H122" s="15" t="str">
        <f aca="false">IF($B122="","",IF($Q122=1,"under-12",""))</f>
        <v/>
      </c>
      <c r="I122" s="15" t="str">
        <f aca="false">IF($M122=0,"",MAX(0,$C122-($N122+$O122+$P122)))</f>
        <v/>
      </c>
      <c r="J122" s="16" t="n">
        <f aca="false">IF($M122=0,0,MAX(0,$C122-($N122+$O122+$P122))*IF($Q122=1,Rates!$B$7,Rates!$B$6)+$N122*Rates!$B$8+$O122*Rates!$B$9+$P122*Rates!$B$10)</f>
        <v>0</v>
      </c>
      <c r="K122" s="16" t="n">
        <f aca="false">IF($M122=0,0,MAX(0,$C122-($N122+$O122+$P122))*IF($Q122=1,Rates!$C$7,Rates!$C$6)+$N122*Rates!$C$8+$O122*Rates!$C$9+$P122*Rates!$C$10)</f>
        <v>0</v>
      </c>
      <c r="M122" s="3" t="n">
        <f aca="false">IFERROR(MATCH($B122,Rates!$A$27:$A$35,0),0)</f>
        <v>0</v>
      </c>
      <c r="N122" s="3" t="n">
        <f aca="false">IF($M122=0,0,IF(AND(INDEX(Rates!$C$27:$C$35,$M122)=1,$D122&gt;=Rates!$B$22),$D122,0))</f>
        <v>0</v>
      </c>
      <c r="O122" s="3" t="n">
        <f aca="false">IF($M122=0,0,IF(AND(INDEX(Rates!$D$27:$D$35,$M122)=1,$E122&gt;=Rates!$B$22),$E122,0))</f>
        <v>0</v>
      </c>
      <c r="P122" s="3" t="n">
        <f aca="false">IF($M122=0,0,IF(AND(INDEX(Rates!$E$27:$E$35,$M122)=1,$F122&gt;=Rates!$B$22),$F122,0))</f>
        <v>0</v>
      </c>
      <c r="Q122" s="3" t="n">
        <f aca="false">IF($M122=0,0,IF(AND(INDEX(Rates!$B$27:$B$35,$M122)=1,$C122&lt;Rates!$B$23),1,0))</f>
        <v>0</v>
      </c>
    </row>
    <row r="123" customFormat="false" ht="15" hidden="false" customHeight="false" outlineLevel="0" collapsed="false">
      <c r="A123" s="14"/>
      <c r="B123" s="14"/>
      <c r="C123" s="14"/>
      <c r="D123" s="14"/>
      <c r="E123" s="14"/>
      <c r="F123" s="14"/>
      <c r="G123" s="15" t="str">
        <f aca="false">IF($B123="","",IF($M123=0,"✗ unknown species",IF($N123+$O123+$P123&gt;$C123,"✗ allocated more than fish weight",IF($D123+$E123+$F123&gt;$N123+$O123+$P123,"✗ some value-added not applied — 15 lb min per fish / species not eligible — bills as fillet",IF(AND(INDEX(Rates!$B$27:$B$35,$M123)=1,$C123&gt;=Rates!$B$24,$C123&lt;=Rates!$C$24),"~ borderline 10–14 lb — tier may flip at the scale","✓")))))</f>
        <v/>
      </c>
      <c r="H123" s="15" t="str">
        <f aca="false">IF($B123="","",IF($Q123=1,"under-12",""))</f>
        <v/>
      </c>
      <c r="I123" s="15" t="str">
        <f aca="false">IF($M123=0,"",MAX(0,$C123-($N123+$O123+$P123)))</f>
        <v/>
      </c>
      <c r="J123" s="16" t="n">
        <f aca="false">IF($M123=0,0,MAX(0,$C123-($N123+$O123+$P123))*IF($Q123=1,Rates!$B$7,Rates!$B$6)+$N123*Rates!$B$8+$O123*Rates!$B$9+$P123*Rates!$B$10)</f>
        <v>0</v>
      </c>
      <c r="K123" s="16" t="n">
        <f aca="false">IF($M123=0,0,MAX(0,$C123-($N123+$O123+$P123))*IF($Q123=1,Rates!$C$7,Rates!$C$6)+$N123*Rates!$C$8+$O123*Rates!$C$9+$P123*Rates!$C$10)</f>
        <v>0</v>
      </c>
      <c r="M123" s="3" t="n">
        <f aca="false">IFERROR(MATCH($B123,Rates!$A$27:$A$35,0),0)</f>
        <v>0</v>
      </c>
      <c r="N123" s="3" t="n">
        <f aca="false">IF($M123=0,0,IF(AND(INDEX(Rates!$C$27:$C$35,$M123)=1,$D123&gt;=Rates!$B$22),$D123,0))</f>
        <v>0</v>
      </c>
      <c r="O123" s="3" t="n">
        <f aca="false">IF($M123=0,0,IF(AND(INDEX(Rates!$D$27:$D$35,$M123)=1,$E123&gt;=Rates!$B$22),$E123,0))</f>
        <v>0</v>
      </c>
      <c r="P123" s="3" t="n">
        <f aca="false">IF($M123=0,0,IF(AND(INDEX(Rates!$E$27:$E$35,$M123)=1,$F123&gt;=Rates!$B$22),$F123,0))</f>
        <v>0</v>
      </c>
      <c r="Q123" s="3" t="n">
        <f aca="false">IF($M123=0,0,IF(AND(INDEX(Rates!$B$27:$B$35,$M123)=1,$C123&lt;Rates!$B$23),1,0))</f>
        <v>0</v>
      </c>
    </row>
    <row r="124" customFormat="false" ht="15" hidden="false" customHeight="false" outlineLevel="0" collapsed="false">
      <c r="A124" s="14"/>
      <c r="B124" s="14"/>
      <c r="C124" s="14"/>
      <c r="D124" s="14"/>
      <c r="E124" s="14"/>
      <c r="F124" s="14"/>
      <c r="G124" s="15" t="str">
        <f aca="false">IF($B124="","",IF($M124=0,"✗ unknown species",IF($N124+$O124+$P124&gt;$C124,"✗ allocated more than fish weight",IF($D124+$E124+$F124&gt;$N124+$O124+$P124,"✗ some value-added not applied — 15 lb min per fish / species not eligible — bills as fillet",IF(AND(INDEX(Rates!$B$27:$B$35,$M124)=1,$C124&gt;=Rates!$B$24,$C124&lt;=Rates!$C$24),"~ borderline 10–14 lb — tier may flip at the scale","✓")))))</f>
        <v/>
      </c>
      <c r="H124" s="15" t="str">
        <f aca="false">IF($B124="","",IF($Q124=1,"under-12",""))</f>
        <v/>
      </c>
      <c r="I124" s="15" t="str">
        <f aca="false">IF($M124=0,"",MAX(0,$C124-($N124+$O124+$P124)))</f>
        <v/>
      </c>
      <c r="J124" s="16" t="n">
        <f aca="false">IF($M124=0,0,MAX(0,$C124-($N124+$O124+$P124))*IF($Q124=1,Rates!$B$7,Rates!$B$6)+$N124*Rates!$B$8+$O124*Rates!$B$9+$P124*Rates!$B$10)</f>
        <v>0</v>
      </c>
      <c r="K124" s="16" t="n">
        <f aca="false">IF($M124=0,0,MAX(0,$C124-($N124+$O124+$P124))*IF($Q124=1,Rates!$C$7,Rates!$C$6)+$N124*Rates!$C$8+$O124*Rates!$C$9+$P124*Rates!$C$10)</f>
        <v>0</v>
      </c>
      <c r="M124" s="3" t="n">
        <f aca="false">IFERROR(MATCH($B124,Rates!$A$27:$A$35,0),0)</f>
        <v>0</v>
      </c>
      <c r="N124" s="3" t="n">
        <f aca="false">IF($M124=0,0,IF(AND(INDEX(Rates!$C$27:$C$35,$M124)=1,$D124&gt;=Rates!$B$22),$D124,0))</f>
        <v>0</v>
      </c>
      <c r="O124" s="3" t="n">
        <f aca="false">IF($M124=0,0,IF(AND(INDEX(Rates!$D$27:$D$35,$M124)=1,$E124&gt;=Rates!$B$22),$E124,0))</f>
        <v>0</v>
      </c>
      <c r="P124" s="3" t="n">
        <f aca="false">IF($M124=0,0,IF(AND(INDEX(Rates!$E$27:$E$35,$M124)=1,$F124&gt;=Rates!$B$22),$F124,0))</f>
        <v>0</v>
      </c>
      <c r="Q124" s="3" t="n">
        <f aca="false">IF($M124=0,0,IF(AND(INDEX(Rates!$B$27:$B$35,$M124)=1,$C124&lt;Rates!$B$23),1,0))</f>
        <v>0</v>
      </c>
    </row>
    <row r="125" customFormat="false" ht="15" hidden="false" customHeight="false" outlineLevel="0" collapsed="false">
      <c r="A125" s="14"/>
      <c r="B125" s="14"/>
      <c r="C125" s="14"/>
      <c r="D125" s="14"/>
      <c r="E125" s="14"/>
      <c r="F125" s="14"/>
      <c r="G125" s="15" t="str">
        <f aca="false">IF($B125="","",IF($M125=0,"✗ unknown species",IF($N125+$O125+$P125&gt;$C125,"✗ allocated more than fish weight",IF($D125+$E125+$F125&gt;$N125+$O125+$P125,"✗ some value-added not applied — 15 lb min per fish / species not eligible — bills as fillet",IF(AND(INDEX(Rates!$B$27:$B$35,$M125)=1,$C125&gt;=Rates!$B$24,$C125&lt;=Rates!$C$24),"~ borderline 10–14 lb — tier may flip at the scale","✓")))))</f>
        <v/>
      </c>
      <c r="H125" s="15" t="str">
        <f aca="false">IF($B125="","",IF($Q125=1,"under-12",""))</f>
        <v/>
      </c>
      <c r="I125" s="15" t="str">
        <f aca="false">IF($M125=0,"",MAX(0,$C125-($N125+$O125+$P125)))</f>
        <v/>
      </c>
      <c r="J125" s="16" t="n">
        <f aca="false">IF($M125=0,0,MAX(0,$C125-($N125+$O125+$P125))*IF($Q125=1,Rates!$B$7,Rates!$B$6)+$N125*Rates!$B$8+$O125*Rates!$B$9+$P125*Rates!$B$10)</f>
        <v>0</v>
      </c>
      <c r="K125" s="16" t="n">
        <f aca="false">IF($M125=0,0,MAX(0,$C125-($N125+$O125+$P125))*IF($Q125=1,Rates!$C$7,Rates!$C$6)+$N125*Rates!$C$8+$O125*Rates!$C$9+$P125*Rates!$C$10)</f>
        <v>0</v>
      </c>
      <c r="M125" s="3" t="n">
        <f aca="false">IFERROR(MATCH($B125,Rates!$A$27:$A$35,0),0)</f>
        <v>0</v>
      </c>
      <c r="N125" s="3" t="n">
        <f aca="false">IF($M125=0,0,IF(AND(INDEX(Rates!$C$27:$C$35,$M125)=1,$D125&gt;=Rates!$B$22),$D125,0))</f>
        <v>0</v>
      </c>
      <c r="O125" s="3" t="n">
        <f aca="false">IF($M125=0,0,IF(AND(INDEX(Rates!$D$27:$D$35,$M125)=1,$E125&gt;=Rates!$B$22),$E125,0))</f>
        <v>0</v>
      </c>
      <c r="P125" s="3" t="n">
        <f aca="false">IF($M125=0,0,IF(AND(INDEX(Rates!$E$27:$E$35,$M125)=1,$F125&gt;=Rates!$B$22),$F125,0))</f>
        <v>0</v>
      </c>
      <c r="Q125" s="3" t="n">
        <f aca="false">IF($M125=0,0,IF(AND(INDEX(Rates!$B$27:$B$35,$M125)=1,$C125&lt;Rates!$B$23),1,0))</f>
        <v>0</v>
      </c>
    </row>
    <row r="126" customFormat="false" ht="15" hidden="false" customHeight="false" outlineLevel="0" collapsed="false">
      <c r="A126" s="14"/>
      <c r="B126" s="14"/>
      <c r="C126" s="14"/>
      <c r="D126" s="14"/>
      <c r="E126" s="14"/>
      <c r="F126" s="14"/>
      <c r="G126" s="15" t="str">
        <f aca="false">IF($B126="","",IF($M126=0,"✗ unknown species",IF($N126+$O126+$P126&gt;$C126,"✗ allocated more than fish weight",IF($D126+$E126+$F126&gt;$N126+$O126+$P126,"✗ some value-added not applied — 15 lb min per fish / species not eligible — bills as fillet",IF(AND(INDEX(Rates!$B$27:$B$35,$M126)=1,$C126&gt;=Rates!$B$24,$C126&lt;=Rates!$C$24),"~ borderline 10–14 lb — tier may flip at the scale","✓")))))</f>
        <v/>
      </c>
      <c r="H126" s="15" t="str">
        <f aca="false">IF($B126="","",IF($Q126=1,"under-12",""))</f>
        <v/>
      </c>
      <c r="I126" s="15" t="str">
        <f aca="false">IF($M126=0,"",MAX(0,$C126-($N126+$O126+$P126)))</f>
        <v/>
      </c>
      <c r="J126" s="16" t="n">
        <f aca="false">IF($M126=0,0,MAX(0,$C126-($N126+$O126+$P126))*IF($Q126=1,Rates!$B$7,Rates!$B$6)+$N126*Rates!$B$8+$O126*Rates!$B$9+$P126*Rates!$B$10)</f>
        <v>0</v>
      </c>
      <c r="K126" s="16" t="n">
        <f aca="false">IF($M126=0,0,MAX(0,$C126-($N126+$O126+$P126))*IF($Q126=1,Rates!$C$7,Rates!$C$6)+$N126*Rates!$C$8+$O126*Rates!$C$9+$P126*Rates!$C$10)</f>
        <v>0</v>
      </c>
      <c r="M126" s="3" t="n">
        <f aca="false">IFERROR(MATCH($B126,Rates!$A$27:$A$35,0),0)</f>
        <v>0</v>
      </c>
      <c r="N126" s="3" t="n">
        <f aca="false">IF($M126=0,0,IF(AND(INDEX(Rates!$C$27:$C$35,$M126)=1,$D126&gt;=Rates!$B$22),$D126,0))</f>
        <v>0</v>
      </c>
      <c r="O126" s="3" t="n">
        <f aca="false">IF($M126=0,0,IF(AND(INDEX(Rates!$D$27:$D$35,$M126)=1,$E126&gt;=Rates!$B$22),$E126,0))</f>
        <v>0</v>
      </c>
      <c r="P126" s="3" t="n">
        <f aca="false">IF($M126=0,0,IF(AND(INDEX(Rates!$E$27:$E$35,$M126)=1,$F126&gt;=Rates!$B$22),$F126,0))</f>
        <v>0</v>
      </c>
      <c r="Q126" s="3" t="n">
        <f aca="false">IF($M126=0,0,IF(AND(INDEX(Rates!$B$27:$B$35,$M126)=1,$C126&lt;Rates!$B$23),1,0))</f>
        <v>0</v>
      </c>
    </row>
    <row r="127" customFormat="false" ht="15" hidden="false" customHeight="false" outlineLevel="0" collapsed="false">
      <c r="A127" s="14"/>
      <c r="B127" s="14"/>
      <c r="C127" s="14"/>
      <c r="D127" s="14"/>
      <c r="E127" s="14"/>
      <c r="F127" s="14"/>
      <c r="G127" s="15" t="str">
        <f aca="false">IF($B127="","",IF($M127=0,"✗ unknown species",IF($N127+$O127+$P127&gt;$C127,"✗ allocated more than fish weight",IF($D127+$E127+$F127&gt;$N127+$O127+$P127,"✗ some value-added not applied — 15 lb min per fish / species not eligible — bills as fillet",IF(AND(INDEX(Rates!$B$27:$B$35,$M127)=1,$C127&gt;=Rates!$B$24,$C127&lt;=Rates!$C$24),"~ borderline 10–14 lb — tier may flip at the scale","✓")))))</f>
        <v/>
      </c>
      <c r="H127" s="15" t="str">
        <f aca="false">IF($B127="","",IF($Q127=1,"under-12",""))</f>
        <v/>
      </c>
      <c r="I127" s="15" t="str">
        <f aca="false">IF($M127=0,"",MAX(0,$C127-($N127+$O127+$P127)))</f>
        <v/>
      </c>
      <c r="J127" s="16" t="n">
        <f aca="false">IF($M127=0,0,MAX(0,$C127-($N127+$O127+$P127))*IF($Q127=1,Rates!$B$7,Rates!$B$6)+$N127*Rates!$B$8+$O127*Rates!$B$9+$P127*Rates!$B$10)</f>
        <v>0</v>
      </c>
      <c r="K127" s="16" t="n">
        <f aca="false">IF($M127=0,0,MAX(0,$C127-($N127+$O127+$P127))*IF($Q127=1,Rates!$C$7,Rates!$C$6)+$N127*Rates!$C$8+$O127*Rates!$C$9+$P127*Rates!$C$10)</f>
        <v>0</v>
      </c>
      <c r="M127" s="3" t="n">
        <f aca="false">IFERROR(MATCH($B127,Rates!$A$27:$A$35,0),0)</f>
        <v>0</v>
      </c>
      <c r="N127" s="3" t="n">
        <f aca="false">IF($M127=0,0,IF(AND(INDEX(Rates!$C$27:$C$35,$M127)=1,$D127&gt;=Rates!$B$22),$D127,0))</f>
        <v>0</v>
      </c>
      <c r="O127" s="3" t="n">
        <f aca="false">IF($M127=0,0,IF(AND(INDEX(Rates!$D$27:$D$35,$M127)=1,$E127&gt;=Rates!$B$22),$E127,0))</f>
        <v>0</v>
      </c>
      <c r="P127" s="3" t="n">
        <f aca="false">IF($M127=0,0,IF(AND(INDEX(Rates!$E$27:$E$35,$M127)=1,$F127&gt;=Rates!$B$22),$F127,0))</f>
        <v>0</v>
      </c>
      <c r="Q127" s="3" t="n">
        <f aca="false">IF($M127=0,0,IF(AND(INDEX(Rates!$B$27:$B$35,$M127)=1,$C127&lt;Rates!$B$23),1,0))</f>
        <v>0</v>
      </c>
    </row>
    <row r="128" customFormat="false" ht="15" hidden="false" customHeight="false" outlineLevel="0" collapsed="false">
      <c r="A128" s="14"/>
      <c r="B128" s="14"/>
      <c r="C128" s="14"/>
      <c r="D128" s="14"/>
      <c r="E128" s="14"/>
      <c r="F128" s="14"/>
      <c r="G128" s="15" t="str">
        <f aca="false">IF($B128="","",IF($M128=0,"✗ unknown species",IF($N128+$O128+$P128&gt;$C128,"✗ allocated more than fish weight",IF($D128+$E128+$F128&gt;$N128+$O128+$P128,"✗ some value-added not applied — 15 lb min per fish / species not eligible — bills as fillet",IF(AND(INDEX(Rates!$B$27:$B$35,$M128)=1,$C128&gt;=Rates!$B$24,$C128&lt;=Rates!$C$24),"~ borderline 10–14 lb — tier may flip at the scale","✓")))))</f>
        <v/>
      </c>
      <c r="H128" s="15" t="str">
        <f aca="false">IF($B128="","",IF($Q128=1,"under-12",""))</f>
        <v/>
      </c>
      <c r="I128" s="15" t="str">
        <f aca="false">IF($M128=0,"",MAX(0,$C128-($N128+$O128+$P128)))</f>
        <v/>
      </c>
      <c r="J128" s="16" t="n">
        <f aca="false">IF($M128=0,0,MAX(0,$C128-($N128+$O128+$P128))*IF($Q128=1,Rates!$B$7,Rates!$B$6)+$N128*Rates!$B$8+$O128*Rates!$B$9+$P128*Rates!$B$10)</f>
        <v>0</v>
      </c>
      <c r="K128" s="16" t="n">
        <f aca="false">IF($M128=0,0,MAX(0,$C128-($N128+$O128+$P128))*IF($Q128=1,Rates!$C$7,Rates!$C$6)+$N128*Rates!$C$8+$O128*Rates!$C$9+$P128*Rates!$C$10)</f>
        <v>0</v>
      </c>
      <c r="M128" s="3" t="n">
        <f aca="false">IFERROR(MATCH($B128,Rates!$A$27:$A$35,0),0)</f>
        <v>0</v>
      </c>
      <c r="N128" s="3" t="n">
        <f aca="false">IF($M128=0,0,IF(AND(INDEX(Rates!$C$27:$C$35,$M128)=1,$D128&gt;=Rates!$B$22),$D128,0))</f>
        <v>0</v>
      </c>
      <c r="O128" s="3" t="n">
        <f aca="false">IF($M128=0,0,IF(AND(INDEX(Rates!$D$27:$D$35,$M128)=1,$E128&gt;=Rates!$B$22),$E128,0))</f>
        <v>0</v>
      </c>
      <c r="P128" s="3" t="n">
        <f aca="false">IF($M128=0,0,IF(AND(INDEX(Rates!$E$27:$E$35,$M128)=1,$F128&gt;=Rates!$B$22),$F128,0))</f>
        <v>0</v>
      </c>
      <c r="Q128" s="3" t="n">
        <f aca="false">IF($M128=0,0,IF(AND(INDEX(Rates!$B$27:$B$35,$M128)=1,$C128&lt;Rates!$B$23),1,0))</f>
        <v>0</v>
      </c>
    </row>
    <row r="129" customFormat="false" ht="15" hidden="false" customHeight="false" outlineLevel="0" collapsed="false">
      <c r="A129" s="14"/>
      <c r="B129" s="14"/>
      <c r="C129" s="14"/>
      <c r="D129" s="14"/>
      <c r="E129" s="14"/>
      <c r="F129" s="14"/>
      <c r="G129" s="15" t="str">
        <f aca="false">IF($B129="","",IF($M129=0,"✗ unknown species",IF($N129+$O129+$P129&gt;$C129,"✗ allocated more than fish weight",IF($D129+$E129+$F129&gt;$N129+$O129+$P129,"✗ some value-added not applied — 15 lb min per fish / species not eligible — bills as fillet",IF(AND(INDEX(Rates!$B$27:$B$35,$M129)=1,$C129&gt;=Rates!$B$24,$C129&lt;=Rates!$C$24),"~ borderline 10–14 lb — tier may flip at the scale","✓")))))</f>
        <v/>
      </c>
      <c r="H129" s="15" t="str">
        <f aca="false">IF($B129="","",IF($Q129=1,"under-12",""))</f>
        <v/>
      </c>
      <c r="I129" s="15" t="str">
        <f aca="false">IF($M129=0,"",MAX(0,$C129-($N129+$O129+$P129)))</f>
        <v/>
      </c>
      <c r="J129" s="16" t="n">
        <f aca="false">IF($M129=0,0,MAX(0,$C129-($N129+$O129+$P129))*IF($Q129=1,Rates!$B$7,Rates!$B$6)+$N129*Rates!$B$8+$O129*Rates!$B$9+$P129*Rates!$B$10)</f>
        <v>0</v>
      </c>
      <c r="K129" s="16" t="n">
        <f aca="false">IF($M129=0,0,MAX(0,$C129-($N129+$O129+$P129))*IF($Q129=1,Rates!$C$7,Rates!$C$6)+$N129*Rates!$C$8+$O129*Rates!$C$9+$P129*Rates!$C$10)</f>
        <v>0</v>
      </c>
      <c r="M129" s="3" t="n">
        <f aca="false">IFERROR(MATCH($B129,Rates!$A$27:$A$35,0),0)</f>
        <v>0</v>
      </c>
      <c r="N129" s="3" t="n">
        <f aca="false">IF($M129=0,0,IF(AND(INDEX(Rates!$C$27:$C$35,$M129)=1,$D129&gt;=Rates!$B$22),$D129,0))</f>
        <v>0</v>
      </c>
      <c r="O129" s="3" t="n">
        <f aca="false">IF($M129=0,0,IF(AND(INDEX(Rates!$D$27:$D$35,$M129)=1,$E129&gt;=Rates!$B$22),$E129,0))</f>
        <v>0</v>
      </c>
      <c r="P129" s="3" t="n">
        <f aca="false">IF($M129=0,0,IF(AND(INDEX(Rates!$E$27:$E$35,$M129)=1,$F129&gt;=Rates!$B$22),$F129,0))</f>
        <v>0</v>
      </c>
      <c r="Q129" s="3" t="n">
        <f aca="false">IF($M129=0,0,IF(AND(INDEX(Rates!$B$27:$B$35,$M129)=1,$C129&lt;Rates!$B$23),1,0))</f>
        <v>0</v>
      </c>
    </row>
    <row r="130" customFormat="false" ht="15" hidden="false" customHeight="false" outlineLevel="0" collapsed="false">
      <c r="A130" s="14"/>
      <c r="B130" s="14"/>
      <c r="C130" s="14"/>
      <c r="D130" s="14"/>
      <c r="E130" s="14"/>
      <c r="F130" s="14"/>
      <c r="G130" s="15" t="str">
        <f aca="false">IF($B130="","",IF($M130=0,"✗ unknown species",IF($N130+$O130+$P130&gt;$C130,"✗ allocated more than fish weight",IF($D130+$E130+$F130&gt;$N130+$O130+$P130,"✗ some value-added not applied — 15 lb min per fish / species not eligible — bills as fillet",IF(AND(INDEX(Rates!$B$27:$B$35,$M130)=1,$C130&gt;=Rates!$B$24,$C130&lt;=Rates!$C$24),"~ borderline 10–14 lb — tier may flip at the scale","✓")))))</f>
        <v/>
      </c>
      <c r="H130" s="15" t="str">
        <f aca="false">IF($B130="","",IF($Q130=1,"under-12",""))</f>
        <v/>
      </c>
      <c r="I130" s="15" t="str">
        <f aca="false">IF($M130=0,"",MAX(0,$C130-($N130+$O130+$P130)))</f>
        <v/>
      </c>
      <c r="J130" s="16" t="n">
        <f aca="false">IF($M130=0,0,MAX(0,$C130-($N130+$O130+$P130))*IF($Q130=1,Rates!$B$7,Rates!$B$6)+$N130*Rates!$B$8+$O130*Rates!$B$9+$P130*Rates!$B$10)</f>
        <v>0</v>
      </c>
      <c r="K130" s="16" t="n">
        <f aca="false">IF($M130=0,0,MAX(0,$C130-($N130+$O130+$P130))*IF($Q130=1,Rates!$C$7,Rates!$C$6)+$N130*Rates!$C$8+$O130*Rates!$C$9+$P130*Rates!$C$10)</f>
        <v>0</v>
      </c>
      <c r="M130" s="3" t="n">
        <f aca="false">IFERROR(MATCH($B130,Rates!$A$27:$A$35,0),0)</f>
        <v>0</v>
      </c>
      <c r="N130" s="3" t="n">
        <f aca="false">IF($M130=0,0,IF(AND(INDEX(Rates!$C$27:$C$35,$M130)=1,$D130&gt;=Rates!$B$22),$D130,0))</f>
        <v>0</v>
      </c>
      <c r="O130" s="3" t="n">
        <f aca="false">IF($M130=0,0,IF(AND(INDEX(Rates!$D$27:$D$35,$M130)=1,$E130&gt;=Rates!$B$22),$E130,0))</f>
        <v>0</v>
      </c>
      <c r="P130" s="3" t="n">
        <f aca="false">IF($M130=0,0,IF(AND(INDEX(Rates!$E$27:$E$35,$M130)=1,$F130&gt;=Rates!$B$22),$F130,0))</f>
        <v>0</v>
      </c>
      <c r="Q130" s="3" t="n">
        <f aca="false">IF($M130=0,0,IF(AND(INDEX(Rates!$B$27:$B$35,$M130)=1,$C130&lt;Rates!$B$23),1,0))</f>
        <v>0</v>
      </c>
    </row>
    <row r="131" customFormat="false" ht="15" hidden="false" customHeight="false" outlineLevel="0" collapsed="false">
      <c r="A131" s="14"/>
      <c r="B131" s="14"/>
      <c r="C131" s="14"/>
      <c r="D131" s="14"/>
      <c r="E131" s="14"/>
      <c r="F131" s="14"/>
      <c r="G131" s="15" t="str">
        <f aca="false">IF($B131="","",IF($M131=0,"✗ unknown species",IF($N131+$O131+$P131&gt;$C131,"✗ allocated more than fish weight",IF($D131+$E131+$F131&gt;$N131+$O131+$P131,"✗ some value-added not applied — 15 lb min per fish / species not eligible — bills as fillet",IF(AND(INDEX(Rates!$B$27:$B$35,$M131)=1,$C131&gt;=Rates!$B$24,$C131&lt;=Rates!$C$24),"~ borderline 10–14 lb — tier may flip at the scale","✓")))))</f>
        <v/>
      </c>
      <c r="H131" s="15" t="str">
        <f aca="false">IF($B131="","",IF($Q131=1,"under-12",""))</f>
        <v/>
      </c>
      <c r="I131" s="15" t="str">
        <f aca="false">IF($M131=0,"",MAX(0,$C131-($N131+$O131+$P131)))</f>
        <v/>
      </c>
      <c r="J131" s="16" t="n">
        <f aca="false">IF($M131=0,0,MAX(0,$C131-($N131+$O131+$P131))*IF($Q131=1,Rates!$B$7,Rates!$B$6)+$N131*Rates!$B$8+$O131*Rates!$B$9+$P131*Rates!$B$10)</f>
        <v>0</v>
      </c>
      <c r="K131" s="16" t="n">
        <f aca="false">IF($M131=0,0,MAX(0,$C131-($N131+$O131+$P131))*IF($Q131=1,Rates!$C$7,Rates!$C$6)+$N131*Rates!$C$8+$O131*Rates!$C$9+$P131*Rates!$C$10)</f>
        <v>0</v>
      </c>
      <c r="M131" s="3" t="n">
        <f aca="false">IFERROR(MATCH($B131,Rates!$A$27:$A$35,0),0)</f>
        <v>0</v>
      </c>
      <c r="N131" s="3" t="n">
        <f aca="false">IF($M131=0,0,IF(AND(INDEX(Rates!$C$27:$C$35,$M131)=1,$D131&gt;=Rates!$B$22),$D131,0))</f>
        <v>0</v>
      </c>
      <c r="O131" s="3" t="n">
        <f aca="false">IF($M131=0,0,IF(AND(INDEX(Rates!$D$27:$D$35,$M131)=1,$E131&gt;=Rates!$B$22),$E131,0))</f>
        <v>0</v>
      </c>
      <c r="P131" s="3" t="n">
        <f aca="false">IF($M131=0,0,IF(AND(INDEX(Rates!$E$27:$E$35,$M131)=1,$F131&gt;=Rates!$B$22),$F131,0))</f>
        <v>0</v>
      </c>
      <c r="Q131" s="3" t="n">
        <f aca="false">IF($M131=0,0,IF(AND(INDEX(Rates!$B$27:$B$35,$M131)=1,$C131&lt;Rates!$B$23),1,0))</f>
        <v>0</v>
      </c>
    </row>
    <row r="132" customFormat="false" ht="15" hidden="false" customHeight="false" outlineLevel="0" collapsed="false">
      <c r="A132" s="14"/>
      <c r="B132" s="14"/>
      <c r="C132" s="14"/>
      <c r="D132" s="14"/>
      <c r="E132" s="14"/>
      <c r="F132" s="14"/>
      <c r="G132" s="15" t="str">
        <f aca="false">IF($B132="","",IF($M132=0,"✗ unknown species",IF($N132+$O132+$P132&gt;$C132,"✗ allocated more than fish weight",IF($D132+$E132+$F132&gt;$N132+$O132+$P132,"✗ some value-added not applied — 15 lb min per fish / species not eligible — bills as fillet",IF(AND(INDEX(Rates!$B$27:$B$35,$M132)=1,$C132&gt;=Rates!$B$24,$C132&lt;=Rates!$C$24),"~ borderline 10–14 lb — tier may flip at the scale","✓")))))</f>
        <v/>
      </c>
      <c r="H132" s="15" t="str">
        <f aca="false">IF($B132="","",IF($Q132=1,"under-12",""))</f>
        <v/>
      </c>
      <c r="I132" s="15" t="str">
        <f aca="false">IF($M132=0,"",MAX(0,$C132-($N132+$O132+$P132)))</f>
        <v/>
      </c>
      <c r="J132" s="16" t="n">
        <f aca="false">IF($M132=0,0,MAX(0,$C132-($N132+$O132+$P132))*IF($Q132=1,Rates!$B$7,Rates!$B$6)+$N132*Rates!$B$8+$O132*Rates!$B$9+$P132*Rates!$B$10)</f>
        <v>0</v>
      </c>
      <c r="K132" s="16" t="n">
        <f aca="false">IF($M132=0,0,MAX(0,$C132-($N132+$O132+$P132))*IF($Q132=1,Rates!$C$7,Rates!$C$6)+$N132*Rates!$C$8+$O132*Rates!$C$9+$P132*Rates!$C$10)</f>
        <v>0</v>
      </c>
      <c r="M132" s="3" t="n">
        <f aca="false">IFERROR(MATCH($B132,Rates!$A$27:$A$35,0),0)</f>
        <v>0</v>
      </c>
      <c r="N132" s="3" t="n">
        <f aca="false">IF($M132=0,0,IF(AND(INDEX(Rates!$C$27:$C$35,$M132)=1,$D132&gt;=Rates!$B$22),$D132,0))</f>
        <v>0</v>
      </c>
      <c r="O132" s="3" t="n">
        <f aca="false">IF($M132=0,0,IF(AND(INDEX(Rates!$D$27:$D$35,$M132)=1,$E132&gt;=Rates!$B$22),$E132,0))</f>
        <v>0</v>
      </c>
      <c r="P132" s="3" t="n">
        <f aca="false">IF($M132=0,0,IF(AND(INDEX(Rates!$E$27:$E$35,$M132)=1,$F132&gt;=Rates!$B$22),$F132,0))</f>
        <v>0</v>
      </c>
      <c r="Q132" s="3" t="n">
        <f aca="false">IF($M132=0,0,IF(AND(INDEX(Rates!$B$27:$B$35,$M132)=1,$C132&lt;Rates!$B$23),1,0))</f>
        <v>0</v>
      </c>
    </row>
    <row r="133" customFormat="false" ht="15" hidden="false" customHeight="false" outlineLevel="0" collapsed="false">
      <c r="A133" s="14"/>
      <c r="B133" s="14"/>
      <c r="C133" s="14"/>
      <c r="D133" s="14"/>
      <c r="E133" s="14"/>
      <c r="F133" s="14"/>
      <c r="G133" s="15" t="str">
        <f aca="false">IF($B133="","",IF($M133=0,"✗ unknown species",IF($N133+$O133+$P133&gt;$C133,"✗ allocated more than fish weight",IF($D133+$E133+$F133&gt;$N133+$O133+$P133,"✗ some value-added not applied — 15 lb min per fish / species not eligible — bills as fillet",IF(AND(INDEX(Rates!$B$27:$B$35,$M133)=1,$C133&gt;=Rates!$B$24,$C133&lt;=Rates!$C$24),"~ borderline 10–14 lb — tier may flip at the scale","✓")))))</f>
        <v/>
      </c>
      <c r="H133" s="15" t="str">
        <f aca="false">IF($B133="","",IF($Q133=1,"under-12",""))</f>
        <v/>
      </c>
      <c r="I133" s="15" t="str">
        <f aca="false">IF($M133=0,"",MAX(0,$C133-($N133+$O133+$P133)))</f>
        <v/>
      </c>
      <c r="J133" s="16" t="n">
        <f aca="false">IF($M133=0,0,MAX(0,$C133-($N133+$O133+$P133))*IF($Q133=1,Rates!$B$7,Rates!$B$6)+$N133*Rates!$B$8+$O133*Rates!$B$9+$P133*Rates!$B$10)</f>
        <v>0</v>
      </c>
      <c r="K133" s="16" t="n">
        <f aca="false">IF($M133=0,0,MAX(0,$C133-($N133+$O133+$P133))*IF($Q133=1,Rates!$C$7,Rates!$C$6)+$N133*Rates!$C$8+$O133*Rates!$C$9+$P133*Rates!$C$10)</f>
        <v>0</v>
      </c>
      <c r="M133" s="3" t="n">
        <f aca="false">IFERROR(MATCH($B133,Rates!$A$27:$A$35,0),0)</f>
        <v>0</v>
      </c>
      <c r="N133" s="3" t="n">
        <f aca="false">IF($M133=0,0,IF(AND(INDEX(Rates!$C$27:$C$35,$M133)=1,$D133&gt;=Rates!$B$22),$D133,0))</f>
        <v>0</v>
      </c>
      <c r="O133" s="3" t="n">
        <f aca="false">IF($M133=0,0,IF(AND(INDEX(Rates!$D$27:$D$35,$M133)=1,$E133&gt;=Rates!$B$22),$E133,0))</f>
        <v>0</v>
      </c>
      <c r="P133" s="3" t="n">
        <f aca="false">IF($M133=0,0,IF(AND(INDEX(Rates!$E$27:$E$35,$M133)=1,$F133&gt;=Rates!$B$22),$F133,0))</f>
        <v>0</v>
      </c>
      <c r="Q133" s="3" t="n">
        <f aca="false">IF($M133=0,0,IF(AND(INDEX(Rates!$B$27:$B$35,$M133)=1,$C133&lt;Rates!$B$23),1,0))</f>
        <v>0</v>
      </c>
    </row>
    <row r="134" customFormat="false" ht="15" hidden="false" customHeight="false" outlineLevel="0" collapsed="false">
      <c r="A134" s="14"/>
      <c r="B134" s="14"/>
      <c r="C134" s="14"/>
      <c r="D134" s="14"/>
      <c r="E134" s="14"/>
      <c r="F134" s="14"/>
      <c r="G134" s="15" t="str">
        <f aca="false">IF($B134="","",IF($M134=0,"✗ unknown species",IF($N134+$O134+$P134&gt;$C134,"✗ allocated more than fish weight",IF($D134+$E134+$F134&gt;$N134+$O134+$P134,"✗ some value-added not applied — 15 lb min per fish / species not eligible — bills as fillet",IF(AND(INDEX(Rates!$B$27:$B$35,$M134)=1,$C134&gt;=Rates!$B$24,$C134&lt;=Rates!$C$24),"~ borderline 10–14 lb — tier may flip at the scale","✓")))))</f>
        <v/>
      </c>
      <c r="H134" s="15" t="str">
        <f aca="false">IF($B134="","",IF($Q134=1,"under-12",""))</f>
        <v/>
      </c>
      <c r="I134" s="15" t="str">
        <f aca="false">IF($M134=0,"",MAX(0,$C134-($N134+$O134+$P134)))</f>
        <v/>
      </c>
      <c r="J134" s="16" t="n">
        <f aca="false">IF($M134=0,0,MAX(0,$C134-($N134+$O134+$P134))*IF($Q134=1,Rates!$B$7,Rates!$B$6)+$N134*Rates!$B$8+$O134*Rates!$B$9+$P134*Rates!$B$10)</f>
        <v>0</v>
      </c>
      <c r="K134" s="16" t="n">
        <f aca="false">IF($M134=0,0,MAX(0,$C134-($N134+$O134+$P134))*IF($Q134=1,Rates!$C$7,Rates!$C$6)+$N134*Rates!$C$8+$O134*Rates!$C$9+$P134*Rates!$C$10)</f>
        <v>0</v>
      </c>
      <c r="M134" s="3" t="n">
        <f aca="false">IFERROR(MATCH($B134,Rates!$A$27:$A$35,0),0)</f>
        <v>0</v>
      </c>
      <c r="N134" s="3" t="n">
        <f aca="false">IF($M134=0,0,IF(AND(INDEX(Rates!$C$27:$C$35,$M134)=1,$D134&gt;=Rates!$B$22),$D134,0))</f>
        <v>0</v>
      </c>
      <c r="O134" s="3" t="n">
        <f aca="false">IF($M134=0,0,IF(AND(INDEX(Rates!$D$27:$D$35,$M134)=1,$E134&gt;=Rates!$B$22),$E134,0))</f>
        <v>0</v>
      </c>
      <c r="P134" s="3" t="n">
        <f aca="false">IF($M134=0,0,IF(AND(INDEX(Rates!$E$27:$E$35,$M134)=1,$F134&gt;=Rates!$B$22),$F134,0))</f>
        <v>0</v>
      </c>
      <c r="Q134" s="3" t="n">
        <f aca="false">IF($M134=0,0,IF(AND(INDEX(Rates!$B$27:$B$35,$M134)=1,$C134&lt;Rates!$B$23),1,0))</f>
        <v>0</v>
      </c>
    </row>
    <row r="135" customFormat="false" ht="15" hidden="false" customHeight="false" outlineLevel="0" collapsed="false">
      <c r="A135" s="14"/>
      <c r="B135" s="14"/>
      <c r="C135" s="14"/>
      <c r="D135" s="14"/>
      <c r="E135" s="14"/>
      <c r="F135" s="14"/>
      <c r="G135" s="15" t="str">
        <f aca="false">IF($B135="","",IF($M135=0,"✗ unknown species",IF($N135+$O135+$P135&gt;$C135,"✗ allocated more than fish weight",IF($D135+$E135+$F135&gt;$N135+$O135+$P135,"✗ some value-added not applied — 15 lb min per fish / species not eligible — bills as fillet",IF(AND(INDEX(Rates!$B$27:$B$35,$M135)=1,$C135&gt;=Rates!$B$24,$C135&lt;=Rates!$C$24),"~ borderline 10–14 lb — tier may flip at the scale","✓")))))</f>
        <v/>
      </c>
      <c r="H135" s="15" t="str">
        <f aca="false">IF($B135="","",IF($Q135=1,"under-12",""))</f>
        <v/>
      </c>
      <c r="I135" s="15" t="str">
        <f aca="false">IF($M135=0,"",MAX(0,$C135-($N135+$O135+$P135)))</f>
        <v/>
      </c>
      <c r="J135" s="16" t="n">
        <f aca="false">IF($M135=0,0,MAX(0,$C135-($N135+$O135+$P135))*IF($Q135=1,Rates!$B$7,Rates!$B$6)+$N135*Rates!$B$8+$O135*Rates!$B$9+$P135*Rates!$B$10)</f>
        <v>0</v>
      </c>
      <c r="K135" s="16" t="n">
        <f aca="false">IF($M135=0,0,MAX(0,$C135-($N135+$O135+$P135))*IF($Q135=1,Rates!$C$7,Rates!$C$6)+$N135*Rates!$C$8+$O135*Rates!$C$9+$P135*Rates!$C$10)</f>
        <v>0</v>
      </c>
      <c r="M135" s="3" t="n">
        <f aca="false">IFERROR(MATCH($B135,Rates!$A$27:$A$35,0),0)</f>
        <v>0</v>
      </c>
      <c r="N135" s="3" t="n">
        <f aca="false">IF($M135=0,0,IF(AND(INDEX(Rates!$C$27:$C$35,$M135)=1,$D135&gt;=Rates!$B$22),$D135,0))</f>
        <v>0</v>
      </c>
      <c r="O135" s="3" t="n">
        <f aca="false">IF($M135=0,0,IF(AND(INDEX(Rates!$D$27:$D$35,$M135)=1,$E135&gt;=Rates!$B$22),$E135,0))</f>
        <v>0</v>
      </c>
      <c r="P135" s="3" t="n">
        <f aca="false">IF($M135=0,0,IF(AND(INDEX(Rates!$E$27:$E$35,$M135)=1,$F135&gt;=Rates!$B$22),$F135,0))</f>
        <v>0</v>
      </c>
      <c r="Q135" s="3" t="n">
        <f aca="false">IF($M135=0,0,IF(AND(INDEX(Rates!$B$27:$B$35,$M135)=1,$C135&lt;Rates!$B$23),1,0))</f>
        <v>0</v>
      </c>
    </row>
    <row r="136" customFormat="false" ht="15" hidden="false" customHeight="false" outlineLevel="0" collapsed="false">
      <c r="A136" s="14"/>
      <c r="B136" s="14"/>
      <c r="C136" s="14"/>
      <c r="D136" s="14"/>
      <c r="E136" s="14"/>
      <c r="F136" s="14"/>
      <c r="G136" s="15" t="str">
        <f aca="false">IF($B136="","",IF($M136=0,"✗ unknown species",IF($N136+$O136+$P136&gt;$C136,"✗ allocated more than fish weight",IF($D136+$E136+$F136&gt;$N136+$O136+$P136,"✗ some value-added not applied — 15 lb min per fish / species not eligible — bills as fillet",IF(AND(INDEX(Rates!$B$27:$B$35,$M136)=1,$C136&gt;=Rates!$B$24,$C136&lt;=Rates!$C$24),"~ borderline 10–14 lb — tier may flip at the scale","✓")))))</f>
        <v/>
      </c>
      <c r="H136" s="15" t="str">
        <f aca="false">IF($B136="","",IF($Q136=1,"under-12",""))</f>
        <v/>
      </c>
      <c r="I136" s="15" t="str">
        <f aca="false">IF($M136=0,"",MAX(0,$C136-($N136+$O136+$P136)))</f>
        <v/>
      </c>
      <c r="J136" s="16" t="n">
        <f aca="false">IF($M136=0,0,MAX(0,$C136-($N136+$O136+$P136))*IF($Q136=1,Rates!$B$7,Rates!$B$6)+$N136*Rates!$B$8+$O136*Rates!$B$9+$P136*Rates!$B$10)</f>
        <v>0</v>
      </c>
      <c r="K136" s="16" t="n">
        <f aca="false">IF($M136=0,0,MAX(0,$C136-($N136+$O136+$P136))*IF($Q136=1,Rates!$C$7,Rates!$C$6)+$N136*Rates!$C$8+$O136*Rates!$C$9+$P136*Rates!$C$10)</f>
        <v>0</v>
      </c>
      <c r="M136" s="3" t="n">
        <f aca="false">IFERROR(MATCH($B136,Rates!$A$27:$A$35,0),0)</f>
        <v>0</v>
      </c>
      <c r="N136" s="3" t="n">
        <f aca="false">IF($M136=0,0,IF(AND(INDEX(Rates!$C$27:$C$35,$M136)=1,$D136&gt;=Rates!$B$22),$D136,0))</f>
        <v>0</v>
      </c>
      <c r="O136" s="3" t="n">
        <f aca="false">IF($M136=0,0,IF(AND(INDEX(Rates!$D$27:$D$35,$M136)=1,$E136&gt;=Rates!$B$22),$E136,0))</f>
        <v>0</v>
      </c>
      <c r="P136" s="3" t="n">
        <f aca="false">IF($M136=0,0,IF(AND(INDEX(Rates!$E$27:$E$35,$M136)=1,$F136&gt;=Rates!$B$22),$F136,0))</f>
        <v>0</v>
      </c>
      <c r="Q136" s="3" t="n">
        <f aca="false">IF($M136=0,0,IF(AND(INDEX(Rates!$B$27:$B$35,$M136)=1,$C136&lt;Rates!$B$23),1,0))</f>
        <v>0</v>
      </c>
    </row>
    <row r="137" customFormat="false" ht="15" hidden="false" customHeight="false" outlineLevel="0" collapsed="false">
      <c r="A137" s="14"/>
      <c r="B137" s="14"/>
      <c r="C137" s="14"/>
      <c r="D137" s="14"/>
      <c r="E137" s="14"/>
      <c r="F137" s="14"/>
      <c r="G137" s="15" t="str">
        <f aca="false">IF($B137="","",IF($M137=0,"✗ unknown species",IF($N137+$O137+$P137&gt;$C137,"✗ allocated more than fish weight",IF($D137+$E137+$F137&gt;$N137+$O137+$P137,"✗ some value-added not applied — 15 lb min per fish / species not eligible — bills as fillet",IF(AND(INDEX(Rates!$B$27:$B$35,$M137)=1,$C137&gt;=Rates!$B$24,$C137&lt;=Rates!$C$24),"~ borderline 10–14 lb — tier may flip at the scale","✓")))))</f>
        <v/>
      </c>
      <c r="H137" s="15" t="str">
        <f aca="false">IF($B137="","",IF($Q137=1,"under-12",""))</f>
        <v/>
      </c>
      <c r="I137" s="15" t="str">
        <f aca="false">IF($M137=0,"",MAX(0,$C137-($N137+$O137+$P137)))</f>
        <v/>
      </c>
      <c r="J137" s="16" t="n">
        <f aca="false">IF($M137=0,0,MAX(0,$C137-($N137+$O137+$P137))*IF($Q137=1,Rates!$B$7,Rates!$B$6)+$N137*Rates!$B$8+$O137*Rates!$B$9+$P137*Rates!$B$10)</f>
        <v>0</v>
      </c>
      <c r="K137" s="16" t="n">
        <f aca="false">IF($M137=0,0,MAX(0,$C137-($N137+$O137+$P137))*IF($Q137=1,Rates!$C$7,Rates!$C$6)+$N137*Rates!$C$8+$O137*Rates!$C$9+$P137*Rates!$C$10)</f>
        <v>0</v>
      </c>
      <c r="M137" s="3" t="n">
        <f aca="false">IFERROR(MATCH($B137,Rates!$A$27:$A$35,0),0)</f>
        <v>0</v>
      </c>
      <c r="N137" s="3" t="n">
        <f aca="false">IF($M137=0,0,IF(AND(INDEX(Rates!$C$27:$C$35,$M137)=1,$D137&gt;=Rates!$B$22),$D137,0))</f>
        <v>0</v>
      </c>
      <c r="O137" s="3" t="n">
        <f aca="false">IF($M137=0,0,IF(AND(INDEX(Rates!$D$27:$D$35,$M137)=1,$E137&gt;=Rates!$B$22),$E137,0))</f>
        <v>0</v>
      </c>
      <c r="P137" s="3" t="n">
        <f aca="false">IF($M137=0,0,IF(AND(INDEX(Rates!$E$27:$E$35,$M137)=1,$F137&gt;=Rates!$B$22),$F137,0))</f>
        <v>0</v>
      </c>
      <c r="Q137" s="3" t="n">
        <f aca="false">IF($M137=0,0,IF(AND(INDEX(Rates!$B$27:$B$35,$M137)=1,$C137&lt;Rates!$B$23),1,0))</f>
        <v>0</v>
      </c>
    </row>
    <row r="138" customFormat="false" ht="15" hidden="false" customHeight="false" outlineLevel="0" collapsed="false">
      <c r="A138" s="14"/>
      <c r="B138" s="14"/>
      <c r="C138" s="14"/>
      <c r="D138" s="14"/>
      <c r="E138" s="14"/>
      <c r="F138" s="14"/>
      <c r="G138" s="15" t="str">
        <f aca="false">IF($B138="","",IF($M138=0,"✗ unknown species",IF($N138+$O138+$P138&gt;$C138,"✗ allocated more than fish weight",IF($D138+$E138+$F138&gt;$N138+$O138+$P138,"✗ some value-added not applied — 15 lb min per fish / species not eligible — bills as fillet",IF(AND(INDEX(Rates!$B$27:$B$35,$M138)=1,$C138&gt;=Rates!$B$24,$C138&lt;=Rates!$C$24),"~ borderline 10–14 lb — tier may flip at the scale","✓")))))</f>
        <v/>
      </c>
      <c r="H138" s="15" t="str">
        <f aca="false">IF($B138="","",IF($Q138=1,"under-12",""))</f>
        <v/>
      </c>
      <c r="I138" s="15" t="str">
        <f aca="false">IF($M138=0,"",MAX(0,$C138-($N138+$O138+$P138)))</f>
        <v/>
      </c>
      <c r="J138" s="16" t="n">
        <f aca="false">IF($M138=0,0,MAX(0,$C138-($N138+$O138+$P138))*IF($Q138=1,Rates!$B$7,Rates!$B$6)+$N138*Rates!$B$8+$O138*Rates!$B$9+$P138*Rates!$B$10)</f>
        <v>0</v>
      </c>
      <c r="K138" s="16" t="n">
        <f aca="false">IF($M138=0,0,MAX(0,$C138-($N138+$O138+$P138))*IF($Q138=1,Rates!$C$7,Rates!$C$6)+$N138*Rates!$C$8+$O138*Rates!$C$9+$P138*Rates!$C$10)</f>
        <v>0</v>
      </c>
      <c r="M138" s="3" t="n">
        <f aca="false">IFERROR(MATCH($B138,Rates!$A$27:$A$35,0),0)</f>
        <v>0</v>
      </c>
      <c r="N138" s="3" t="n">
        <f aca="false">IF($M138=0,0,IF(AND(INDEX(Rates!$C$27:$C$35,$M138)=1,$D138&gt;=Rates!$B$22),$D138,0))</f>
        <v>0</v>
      </c>
      <c r="O138" s="3" t="n">
        <f aca="false">IF($M138=0,0,IF(AND(INDEX(Rates!$D$27:$D$35,$M138)=1,$E138&gt;=Rates!$B$22),$E138,0))</f>
        <v>0</v>
      </c>
      <c r="P138" s="3" t="n">
        <f aca="false">IF($M138=0,0,IF(AND(INDEX(Rates!$E$27:$E$35,$M138)=1,$F138&gt;=Rates!$B$22),$F138,0))</f>
        <v>0</v>
      </c>
      <c r="Q138" s="3" t="n">
        <f aca="false">IF($M138=0,0,IF(AND(INDEX(Rates!$B$27:$B$35,$M138)=1,$C138&lt;Rates!$B$23),1,0))</f>
        <v>0</v>
      </c>
    </row>
    <row r="139" customFormat="false" ht="15" hidden="false" customHeight="false" outlineLevel="0" collapsed="false">
      <c r="A139" s="14"/>
      <c r="B139" s="14"/>
      <c r="C139" s="14"/>
      <c r="D139" s="14"/>
      <c r="E139" s="14"/>
      <c r="F139" s="14"/>
      <c r="G139" s="15" t="str">
        <f aca="false">IF($B139="","",IF($M139=0,"✗ unknown species",IF($N139+$O139+$P139&gt;$C139,"✗ allocated more than fish weight",IF($D139+$E139+$F139&gt;$N139+$O139+$P139,"✗ some value-added not applied — 15 lb min per fish / species not eligible — bills as fillet",IF(AND(INDEX(Rates!$B$27:$B$35,$M139)=1,$C139&gt;=Rates!$B$24,$C139&lt;=Rates!$C$24),"~ borderline 10–14 lb — tier may flip at the scale","✓")))))</f>
        <v/>
      </c>
      <c r="H139" s="15" t="str">
        <f aca="false">IF($B139="","",IF($Q139=1,"under-12",""))</f>
        <v/>
      </c>
      <c r="I139" s="15" t="str">
        <f aca="false">IF($M139=0,"",MAX(0,$C139-($N139+$O139+$P139)))</f>
        <v/>
      </c>
      <c r="J139" s="16" t="n">
        <f aca="false">IF($M139=0,0,MAX(0,$C139-($N139+$O139+$P139))*IF($Q139=1,Rates!$B$7,Rates!$B$6)+$N139*Rates!$B$8+$O139*Rates!$B$9+$P139*Rates!$B$10)</f>
        <v>0</v>
      </c>
      <c r="K139" s="16" t="n">
        <f aca="false">IF($M139=0,0,MAX(0,$C139-($N139+$O139+$P139))*IF($Q139=1,Rates!$C$7,Rates!$C$6)+$N139*Rates!$C$8+$O139*Rates!$C$9+$P139*Rates!$C$10)</f>
        <v>0</v>
      </c>
      <c r="M139" s="3" t="n">
        <f aca="false">IFERROR(MATCH($B139,Rates!$A$27:$A$35,0),0)</f>
        <v>0</v>
      </c>
      <c r="N139" s="3" t="n">
        <f aca="false">IF($M139=0,0,IF(AND(INDEX(Rates!$C$27:$C$35,$M139)=1,$D139&gt;=Rates!$B$22),$D139,0))</f>
        <v>0</v>
      </c>
      <c r="O139" s="3" t="n">
        <f aca="false">IF($M139=0,0,IF(AND(INDEX(Rates!$D$27:$D$35,$M139)=1,$E139&gt;=Rates!$B$22),$E139,0))</f>
        <v>0</v>
      </c>
      <c r="P139" s="3" t="n">
        <f aca="false">IF($M139=0,0,IF(AND(INDEX(Rates!$E$27:$E$35,$M139)=1,$F139&gt;=Rates!$B$22),$F139,0))</f>
        <v>0</v>
      </c>
      <c r="Q139" s="3" t="n">
        <f aca="false">IF($M139=0,0,IF(AND(INDEX(Rates!$B$27:$B$35,$M139)=1,$C139&lt;Rates!$B$23),1,0))</f>
        <v>0</v>
      </c>
    </row>
    <row r="140" customFormat="false" ht="15" hidden="false" customHeight="false" outlineLevel="0" collapsed="false">
      <c r="A140" s="14"/>
      <c r="B140" s="14"/>
      <c r="C140" s="14"/>
      <c r="D140" s="14"/>
      <c r="E140" s="14"/>
      <c r="F140" s="14"/>
      <c r="G140" s="15" t="str">
        <f aca="false">IF($B140="","",IF($M140=0,"✗ unknown species",IF($N140+$O140+$P140&gt;$C140,"✗ allocated more than fish weight",IF($D140+$E140+$F140&gt;$N140+$O140+$P140,"✗ some value-added not applied — 15 lb min per fish / species not eligible — bills as fillet",IF(AND(INDEX(Rates!$B$27:$B$35,$M140)=1,$C140&gt;=Rates!$B$24,$C140&lt;=Rates!$C$24),"~ borderline 10–14 lb — tier may flip at the scale","✓")))))</f>
        <v/>
      </c>
      <c r="H140" s="15" t="str">
        <f aca="false">IF($B140="","",IF($Q140=1,"under-12",""))</f>
        <v/>
      </c>
      <c r="I140" s="15" t="str">
        <f aca="false">IF($M140=0,"",MAX(0,$C140-($N140+$O140+$P140)))</f>
        <v/>
      </c>
      <c r="J140" s="16" t="n">
        <f aca="false">IF($M140=0,0,MAX(0,$C140-($N140+$O140+$P140))*IF($Q140=1,Rates!$B$7,Rates!$B$6)+$N140*Rates!$B$8+$O140*Rates!$B$9+$P140*Rates!$B$10)</f>
        <v>0</v>
      </c>
      <c r="K140" s="16" t="n">
        <f aca="false">IF($M140=0,0,MAX(0,$C140-($N140+$O140+$P140))*IF($Q140=1,Rates!$C$7,Rates!$C$6)+$N140*Rates!$C$8+$O140*Rates!$C$9+$P140*Rates!$C$10)</f>
        <v>0</v>
      </c>
      <c r="M140" s="3" t="n">
        <f aca="false">IFERROR(MATCH($B140,Rates!$A$27:$A$35,0),0)</f>
        <v>0</v>
      </c>
      <c r="N140" s="3" t="n">
        <f aca="false">IF($M140=0,0,IF(AND(INDEX(Rates!$C$27:$C$35,$M140)=1,$D140&gt;=Rates!$B$22),$D140,0))</f>
        <v>0</v>
      </c>
      <c r="O140" s="3" t="n">
        <f aca="false">IF($M140=0,0,IF(AND(INDEX(Rates!$D$27:$D$35,$M140)=1,$E140&gt;=Rates!$B$22),$E140,0))</f>
        <v>0</v>
      </c>
      <c r="P140" s="3" t="n">
        <f aca="false">IF($M140=0,0,IF(AND(INDEX(Rates!$E$27:$E$35,$M140)=1,$F140&gt;=Rates!$B$22),$F140,0))</f>
        <v>0</v>
      </c>
      <c r="Q140" s="3" t="n">
        <f aca="false">IF($M140=0,0,IF(AND(INDEX(Rates!$B$27:$B$35,$M140)=1,$C140&lt;Rates!$B$23),1,0))</f>
        <v>0</v>
      </c>
    </row>
    <row r="141" customFormat="false" ht="15" hidden="false" customHeight="false" outlineLevel="0" collapsed="false">
      <c r="A141" s="14"/>
      <c r="B141" s="14"/>
      <c r="C141" s="14"/>
      <c r="D141" s="14"/>
      <c r="E141" s="14"/>
      <c r="F141" s="14"/>
      <c r="G141" s="15" t="str">
        <f aca="false">IF($B141="","",IF($M141=0,"✗ unknown species",IF($N141+$O141+$P141&gt;$C141,"✗ allocated more than fish weight",IF($D141+$E141+$F141&gt;$N141+$O141+$P141,"✗ some value-added not applied — 15 lb min per fish / species not eligible — bills as fillet",IF(AND(INDEX(Rates!$B$27:$B$35,$M141)=1,$C141&gt;=Rates!$B$24,$C141&lt;=Rates!$C$24),"~ borderline 10–14 lb — tier may flip at the scale","✓")))))</f>
        <v/>
      </c>
      <c r="H141" s="15" t="str">
        <f aca="false">IF($B141="","",IF($Q141=1,"under-12",""))</f>
        <v/>
      </c>
      <c r="I141" s="15" t="str">
        <f aca="false">IF($M141=0,"",MAX(0,$C141-($N141+$O141+$P141)))</f>
        <v/>
      </c>
      <c r="J141" s="16" t="n">
        <f aca="false">IF($M141=0,0,MAX(0,$C141-($N141+$O141+$P141))*IF($Q141=1,Rates!$B$7,Rates!$B$6)+$N141*Rates!$B$8+$O141*Rates!$B$9+$P141*Rates!$B$10)</f>
        <v>0</v>
      </c>
      <c r="K141" s="16" t="n">
        <f aca="false">IF($M141=0,0,MAX(0,$C141-($N141+$O141+$P141))*IF($Q141=1,Rates!$C$7,Rates!$C$6)+$N141*Rates!$C$8+$O141*Rates!$C$9+$P141*Rates!$C$10)</f>
        <v>0</v>
      </c>
      <c r="M141" s="3" t="n">
        <f aca="false">IFERROR(MATCH($B141,Rates!$A$27:$A$35,0),0)</f>
        <v>0</v>
      </c>
      <c r="N141" s="3" t="n">
        <f aca="false">IF($M141=0,0,IF(AND(INDEX(Rates!$C$27:$C$35,$M141)=1,$D141&gt;=Rates!$B$22),$D141,0))</f>
        <v>0</v>
      </c>
      <c r="O141" s="3" t="n">
        <f aca="false">IF($M141=0,0,IF(AND(INDEX(Rates!$D$27:$D$35,$M141)=1,$E141&gt;=Rates!$B$22),$E141,0))</f>
        <v>0</v>
      </c>
      <c r="P141" s="3" t="n">
        <f aca="false">IF($M141=0,0,IF(AND(INDEX(Rates!$E$27:$E$35,$M141)=1,$F141&gt;=Rates!$B$22),$F141,0))</f>
        <v>0</v>
      </c>
      <c r="Q141" s="3" t="n">
        <f aca="false">IF($M141=0,0,IF(AND(INDEX(Rates!$B$27:$B$35,$M141)=1,$C141&lt;Rates!$B$23),1,0))</f>
        <v>0</v>
      </c>
    </row>
    <row r="142" customFormat="false" ht="15" hidden="false" customHeight="false" outlineLevel="0" collapsed="false">
      <c r="A142" s="14"/>
      <c r="B142" s="14"/>
      <c r="C142" s="14"/>
      <c r="D142" s="14"/>
      <c r="E142" s="14"/>
      <c r="F142" s="14"/>
      <c r="G142" s="15" t="str">
        <f aca="false">IF($B142="","",IF($M142=0,"✗ unknown species",IF($N142+$O142+$P142&gt;$C142,"✗ allocated more than fish weight",IF($D142+$E142+$F142&gt;$N142+$O142+$P142,"✗ some value-added not applied — 15 lb min per fish / species not eligible — bills as fillet",IF(AND(INDEX(Rates!$B$27:$B$35,$M142)=1,$C142&gt;=Rates!$B$24,$C142&lt;=Rates!$C$24),"~ borderline 10–14 lb — tier may flip at the scale","✓")))))</f>
        <v/>
      </c>
      <c r="H142" s="15" t="str">
        <f aca="false">IF($B142="","",IF($Q142=1,"under-12",""))</f>
        <v/>
      </c>
      <c r="I142" s="15" t="str">
        <f aca="false">IF($M142=0,"",MAX(0,$C142-($N142+$O142+$P142)))</f>
        <v/>
      </c>
      <c r="J142" s="16" t="n">
        <f aca="false">IF($M142=0,0,MAX(0,$C142-($N142+$O142+$P142))*IF($Q142=1,Rates!$B$7,Rates!$B$6)+$N142*Rates!$B$8+$O142*Rates!$B$9+$P142*Rates!$B$10)</f>
        <v>0</v>
      </c>
      <c r="K142" s="16" t="n">
        <f aca="false">IF($M142=0,0,MAX(0,$C142-($N142+$O142+$P142))*IF($Q142=1,Rates!$C$7,Rates!$C$6)+$N142*Rates!$C$8+$O142*Rates!$C$9+$P142*Rates!$C$10)</f>
        <v>0</v>
      </c>
      <c r="M142" s="3" t="n">
        <f aca="false">IFERROR(MATCH($B142,Rates!$A$27:$A$35,0),0)</f>
        <v>0</v>
      </c>
      <c r="N142" s="3" t="n">
        <f aca="false">IF($M142=0,0,IF(AND(INDEX(Rates!$C$27:$C$35,$M142)=1,$D142&gt;=Rates!$B$22),$D142,0))</f>
        <v>0</v>
      </c>
      <c r="O142" s="3" t="n">
        <f aca="false">IF($M142=0,0,IF(AND(INDEX(Rates!$D$27:$D$35,$M142)=1,$E142&gt;=Rates!$B$22),$E142,0))</f>
        <v>0</v>
      </c>
      <c r="P142" s="3" t="n">
        <f aca="false">IF($M142=0,0,IF(AND(INDEX(Rates!$E$27:$E$35,$M142)=1,$F142&gt;=Rates!$B$22),$F142,0))</f>
        <v>0</v>
      </c>
      <c r="Q142" s="3" t="n">
        <f aca="false">IF($M142=0,0,IF(AND(INDEX(Rates!$B$27:$B$35,$M142)=1,$C142&lt;Rates!$B$23),1,0))</f>
        <v>0</v>
      </c>
    </row>
    <row r="143" customFormat="false" ht="15" hidden="false" customHeight="false" outlineLevel="0" collapsed="false">
      <c r="A143" s="14"/>
      <c r="B143" s="14"/>
      <c r="C143" s="14"/>
      <c r="D143" s="14"/>
      <c r="E143" s="14"/>
      <c r="F143" s="14"/>
      <c r="G143" s="15" t="str">
        <f aca="false">IF($B143="","",IF($M143=0,"✗ unknown species",IF($N143+$O143+$P143&gt;$C143,"✗ allocated more than fish weight",IF($D143+$E143+$F143&gt;$N143+$O143+$P143,"✗ some value-added not applied — 15 lb min per fish / species not eligible — bills as fillet",IF(AND(INDEX(Rates!$B$27:$B$35,$M143)=1,$C143&gt;=Rates!$B$24,$C143&lt;=Rates!$C$24),"~ borderline 10–14 lb — tier may flip at the scale","✓")))))</f>
        <v/>
      </c>
      <c r="H143" s="15" t="str">
        <f aca="false">IF($B143="","",IF($Q143=1,"under-12",""))</f>
        <v/>
      </c>
      <c r="I143" s="15" t="str">
        <f aca="false">IF($M143=0,"",MAX(0,$C143-($N143+$O143+$P143)))</f>
        <v/>
      </c>
      <c r="J143" s="16" t="n">
        <f aca="false">IF($M143=0,0,MAX(0,$C143-($N143+$O143+$P143))*IF($Q143=1,Rates!$B$7,Rates!$B$6)+$N143*Rates!$B$8+$O143*Rates!$B$9+$P143*Rates!$B$10)</f>
        <v>0</v>
      </c>
      <c r="K143" s="16" t="n">
        <f aca="false">IF($M143=0,0,MAX(0,$C143-($N143+$O143+$P143))*IF($Q143=1,Rates!$C$7,Rates!$C$6)+$N143*Rates!$C$8+$O143*Rates!$C$9+$P143*Rates!$C$10)</f>
        <v>0</v>
      </c>
      <c r="M143" s="3" t="n">
        <f aca="false">IFERROR(MATCH($B143,Rates!$A$27:$A$35,0),0)</f>
        <v>0</v>
      </c>
      <c r="N143" s="3" t="n">
        <f aca="false">IF($M143=0,0,IF(AND(INDEX(Rates!$C$27:$C$35,$M143)=1,$D143&gt;=Rates!$B$22),$D143,0))</f>
        <v>0</v>
      </c>
      <c r="O143" s="3" t="n">
        <f aca="false">IF($M143=0,0,IF(AND(INDEX(Rates!$D$27:$D$35,$M143)=1,$E143&gt;=Rates!$B$22),$E143,0))</f>
        <v>0</v>
      </c>
      <c r="P143" s="3" t="n">
        <f aca="false">IF($M143=0,0,IF(AND(INDEX(Rates!$E$27:$E$35,$M143)=1,$F143&gt;=Rates!$B$22),$F143,0))</f>
        <v>0</v>
      </c>
      <c r="Q143" s="3" t="n">
        <f aca="false">IF($M143=0,0,IF(AND(INDEX(Rates!$B$27:$B$35,$M143)=1,$C143&lt;Rates!$B$23),1,0))</f>
        <v>0</v>
      </c>
    </row>
    <row r="144" customFormat="false" ht="15" hidden="false" customHeight="false" outlineLevel="0" collapsed="false">
      <c r="A144" s="14"/>
      <c r="B144" s="14"/>
      <c r="C144" s="14"/>
      <c r="D144" s="14"/>
      <c r="E144" s="14"/>
      <c r="F144" s="14"/>
      <c r="G144" s="15" t="str">
        <f aca="false">IF($B144="","",IF($M144=0,"✗ unknown species",IF($N144+$O144+$P144&gt;$C144,"✗ allocated more than fish weight",IF($D144+$E144+$F144&gt;$N144+$O144+$P144,"✗ some value-added not applied — 15 lb min per fish / species not eligible — bills as fillet",IF(AND(INDEX(Rates!$B$27:$B$35,$M144)=1,$C144&gt;=Rates!$B$24,$C144&lt;=Rates!$C$24),"~ borderline 10–14 lb — tier may flip at the scale","✓")))))</f>
        <v/>
      </c>
      <c r="H144" s="15" t="str">
        <f aca="false">IF($B144="","",IF($Q144=1,"under-12",""))</f>
        <v/>
      </c>
      <c r="I144" s="15" t="str">
        <f aca="false">IF($M144=0,"",MAX(0,$C144-($N144+$O144+$P144)))</f>
        <v/>
      </c>
      <c r="J144" s="16" t="n">
        <f aca="false">IF($M144=0,0,MAX(0,$C144-($N144+$O144+$P144))*IF($Q144=1,Rates!$B$7,Rates!$B$6)+$N144*Rates!$B$8+$O144*Rates!$B$9+$P144*Rates!$B$10)</f>
        <v>0</v>
      </c>
      <c r="K144" s="16" t="n">
        <f aca="false">IF($M144=0,0,MAX(0,$C144-($N144+$O144+$P144))*IF($Q144=1,Rates!$C$7,Rates!$C$6)+$N144*Rates!$C$8+$O144*Rates!$C$9+$P144*Rates!$C$10)</f>
        <v>0</v>
      </c>
      <c r="M144" s="3" t="n">
        <f aca="false">IFERROR(MATCH($B144,Rates!$A$27:$A$35,0),0)</f>
        <v>0</v>
      </c>
      <c r="N144" s="3" t="n">
        <f aca="false">IF($M144=0,0,IF(AND(INDEX(Rates!$C$27:$C$35,$M144)=1,$D144&gt;=Rates!$B$22),$D144,0))</f>
        <v>0</v>
      </c>
      <c r="O144" s="3" t="n">
        <f aca="false">IF($M144=0,0,IF(AND(INDEX(Rates!$D$27:$D$35,$M144)=1,$E144&gt;=Rates!$B$22),$E144,0))</f>
        <v>0</v>
      </c>
      <c r="P144" s="3" t="n">
        <f aca="false">IF($M144=0,0,IF(AND(INDEX(Rates!$E$27:$E$35,$M144)=1,$F144&gt;=Rates!$B$22),$F144,0))</f>
        <v>0</v>
      </c>
      <c r="Q144" s="3" t="n">
        <f aca="false">IF($M144=0,0,IF(AND(INDEX(Rates!$B$27:$B$35,$M144)=1,$C144&lt;Rates!$B$23),1,0))</f>
        <v>0</v>
      </c>
    </row>
    <row r="145" customFormat="false" ht="15" hidden="false" customHeight="false" outlineLevel="0" collapsed="false">
      <c r="A145" s="14"/>
      <c r="B145" s="14"/>
      <c r="C145" s="14"/>
      <c r="D145" s="14"/>
      <c r="E145" s="14"/>
      <c r="F145" s="14"/>
      <c r="G145" s="15" t="str">
        <f aca="false">IF($B145="","",IF($M145=0,"✗ unknown species",IF($N145+$O145+$P145&gt;$C145,"✗ allocated more than fish weight",IF($D145+$E145+$F145&gt;$N145+$O145+$P145,"✗ some value-added not applied — 15 lb min per fish / species not eligible — bills as fillet",IF(AND(INDEX(Rates!$B$27:$B$35,$M145)=1,$C145&gt;=Rates!$B$24,$C145&lt;=Rates!$C$24),"~ borderline 10–14 lb — tier may flip at the scale","✓")))))</f>
        <v/>
      </c>
      <c r="H145" s="15" t="str">
        <f aca="false">IF($B145="","",IF($Q145=1,"under-12",""))</f>
        <v/>
      </c>
      <c r="I145" s="15" t="str">
        <f aca="false">IF($M145=0,"",MAX(0,$C145-($N145+$O145+$P145)))</f>
        <v/>
      </c>
      <c r="J145" s="16" t="n">
        <f aca="false">IF($M145=0,0,MAX(0,$C145-($N145+$O145+$P145))*IF($Q145=1,Rates!$B$7,Rates!$B$6)+$N145*Rates!$B$8+$O145*Rates!$B$9+$P145*Rates!$B$10)</f>
        <v>0</v>
      </c>
      <c r="K145" s="16" t="n">
        <f aca="false">IF($M145=0,0,MAX(0,$C145-($N145+$O145+$P145))*IF($Q145=1,Rates!$C$7,Rates!$C$6)+$N145*Rates!$C$8+$O145*Rates!$C$9+$P145*Rates!$C$10)</f>
        <v>0</v>
      </c>
      <c r="M145" s="3" t="n">
        <f aca="false">IFERROR(MATCH($B145,Rates!$A$27:$A$35,0),0)</f>
        <v>0</v>
      </c>
      <c r="N145" s="3" t="n">
        <f aca="false">IF($M145=0,0,IF(AND(INDEX(Rates!$C$27:$C$35,$M145)=1,$D145&gt;=Rates!$B$22),$D145,0))</f>
        <v>0</v>
      </c>
      <c r="O145" s="3" t="n">
        <f aca="false">IF($M145=0,0,IF(AND(INDEX(Rates!$D$27:$D$35,$M145)=1,$E145&gt;=Rates!$B$22),$E145,0))</f>
        <v>0</v>
      </c>
      <c r="P145" s="3" t="n">
        <f aca="false">IF($M145=0,0,IF(AND(INDEX(Rates!$E$27:$E$35,$M145)=1,$F145&gt;=Rates!$B$22),$F145,0))</f>
        <v>0</v>
      </c>
      <c r="Q145" s="3" t="n">
        <f aca="false">IF($M145=0,0,IF(AND(INDEX(Rates!$B$27:$B$35,$M145)=1,$C145&lt;Rates!$B$23),1,0))</f>
        <v>0</v>
      </c>
    </row>
    <row r="146" customFormat="false" ht="15" hidden="false" customHeight="false" outlineLevel="0" collapsed="false">
      <c r="A146" s="14"/>
      <c r="B146" s="14"/>
      <c r="C146" s="14"/>
      <c r="D146" s="14"/>
      <c r="E146" s="14"/>
      <c r="F146" s="14"/>
      <c r="G146" s="15" t="str">
        <f aca="false">IF($B146="","",IF($M146=0,"✗ unknown species",IF($N146+$O146+$P146&gt;$C146,"✗ allocated more than fish weight",IF($D146+$E146+$F146&gt;$N146+$O146+$P146,"✗ some value-added not applied — 15 lb min per fish / species not eligible — bills as fillet",IF(AND(INDEX(Rates!$B$27:$B$35,$M146)=1,$C146&gt;=Rates!$B$24,$C146&lt;=Rates!$C$24),"~ borderline 10–14 lb — tier may flip at the scale","✓")))))</f>
        <v/>
      </c>
      <c r="H146" s="15" t="str">
        <f aca="false">IF($B146="","",IF($Q146=1,"under-12",""))</f>
        <v/>
      </c>
      <c r="I146" s="15" t="str">
        <f aca="false">IF($M146=0,"",MAX(0,$C146-($N146+$O146+$P146)))</f>
        <v/>
      </c>
      <c r="J146" s="16" t="n">
        <f aca="false">IF($M146=0,0,MAX(0,$C146-($N146+$O146+$P146))*IF($Q146=1,Rates!$B$7,Rates!$B$6)+$N146*Rates!$B$8+$O146*Rates!$B$9+$P146*Rates!$B$10)</f>
        <v>0</v>
      </c>
      <c r="K146" s="16" t="n">
        <f aca="false">IF($M146=0,0,MAX(0,$C146-($N146+$O146+$P146))*IF($Q146=1,Rates!$C$7,Rates!$C$6)+$N146*Rates!$C$8+$O146*Rates!$C$9+$P146*Rates!$C$10)</f>
        <v>0</v>
      </c>
      <c r="M146" s="3" t="n">
        <f aca="false">IFERROR(MATCH($B146,Rates!$A$27:$A$35,0),0)</f>
        <v>0</v>
      </c>
      <c r="N146" s="3" t="n">
        <f aca="false">IF($M146=0,0,IF(AND(INDEX(Rates!$C$27:$C$35,$M146)=1,$D146&gt;=Rates!$B$22),$D146,0))</f>
        <v>0</v>
      </c>
      <c r="O146" s="3" t="n">
        <f aca="false">IF($M146=0,0,IF(AND(INDEX(Rates!$D$27:$D$35,$M146)=1,$E146&gt;=Rates!$B$22),$E146,0))</f>
        <v>0</v>
      </c>
      <c r="P146" s="3" t="n">
        <f aca="false">IF($M146=0,0,IF(AND(INDEX(Rates!$E$27:$E$35,$M146)=1,$F146&gt;=Rates!$B$22),$F146,0))</f>
        <v>0</v>
      </c>
      <c r="Q146" s="3" t="n">
        <f aca="false">IF($M146=0,0,IF(AND(INDEX(Rates!$B$27:$B$35,$M146)=1,$C146&lt;Rates!$B$23),1,0))</f>
        <v>0</v>
      </c>
    </row>
    <row r="147" customFormat="false" ht="15" hidden="false" customHeight="false" outlineLevel="0" collapsed="false">
      <c r="A147" s="14"/>
      <c r="B147" s="14"/>
      <c r="C147" s="14"/>
      <c r="D147" s="14"/>
      <c r="E147" s="14"/>
      <c r="F147" s="14"/>
      <c r="G147" s="15" t="str">
        <f aca="false">IF($B147="","",IF($M147=0,"✗ unknown species",IF($N147+$O147+$P147&gt;$C147,"✗ allocated more than fish weight",IF($D147+$E147+$F147&gt;$N147+$O147+$P147,"✗ some value-added not applied — 15 lb min per fish / species not eligible — bills as fillet",IF(AND(INDEX(Rates!$B$27:$B$35,$M147)=1,$C147&gt;=Rates!$B$24,$C147&lt;=Rates!$C$24),"~ borderline 10–14 lb — tier may flip at the scale","✓")))))</f>
        <v/>
      </c>
      <c r="H147" s="15" t="str">
        <f aca="false">IF($B147="","",IF($Q147=1,"under-12",""))</f>
        <v/>
      </c>
      <c r="I147" s="15" t="str">
        <f aca="false">IF($M147=0,"",MAX(0,$C147-($N147+$O147+$P147)))</f>
        <v/>
      </c>
      <c r="J147" s="16" t="n">
        <f aca="false">IF($M147=0,0,MAX(0,$C147-($N147+$O147+$P147))*IF($Q147=1,Rates!$B$7,Rates!$B$6)+$N147*Rates!$B$8+$O147*Rates!$B$9+$P147*Rates!$B$10)</f>
        <v>0</v>
      </c>
      <c r="K147" s="16" t="n">
        <f aca="false">IF($M147=0,0,MAX(0,$C147-($N147+$O147+$P147))*IF($Q147=1,Rates!$C$7,Rates!$C$6)+$N147*Rates!$C$8+$O147*Rates!$C$9+$P147*Rates!$C$10)</f>
        <v>0</v>
      </c>
      <c r="M147" s="3" t="n">
        <f aca="false">IFERROR(MATCH($B147,Rates!$A$27:$A$35,0),0)</f>
        <v>0</v>
      </c>
      <c r="N147" s="3" t="n">
        <f aca="false">IF($M147=0,0,IF(AND(INDEX(Rates!$C$27:$C$35,$M147)=1,$D147&gt;=Rates!$B$22),$D147,0))</f>
        <v>0</v>
      </c>
      <c r="O147" s="3" t="n">
        <f aca="false">IF($M147=0,0,IF(AND(INDEX(Rates!$D$27:$D$35,$M147)=1,$E147&gt;=Rates!$B$22),$E147,0))</f>
        <v>0</v>
      </c>
      <c r="P147" s="3" t="n">
        <f aca="false">IF($M147=0,0,IF(AND(INDEX(Rates!$E$27:$E$35,$M147)=1,$F147&gt;=Rates!$B$22),$F147,0))</f>
        <v>0</v>
      </c>
      <c r="Q147" s="3" t="n">
        <f aca="false">IF($M147=0,0,IF(AND(INDEX(Rates!$B$27:$B$35,$M147)=1,$C147&lt;Rates!$B$23),1,0))</f>
        <v>0</v>
      </c>
    </row>
    <row r="148" customFormat="false" ht="15" hidden="false" customHeight="false" outlineLevel="0" collapsed="false">
      <c r="A148" s="14"/>
      <c r="B148" s="14"/>
      <c r="C148" s="14"/>
      <c r="D148" s="14"/>
      <c r="E148" s="14"/>
      <c r="F148" s="14"/>
      <c r="G148" s="15" t="str">
        <f aca="false">IF($B148="","",IF($M148=0,"✗ unknown species",IF($N148+$O148+$P148&gt;$C148,"✗ allocated more than fish weight",IF($D148+$E148+$F148&gt;$N148+$O148+$P148,"✗ some value-added not applied — 15 lb min per fish / species not eligible — bills as fillet",IF(AND(INDEX(Rates!$B$27:$B$35,$M148)=1,$C148&gt;=Rates!$B$24,$C148&lt;=Rates!$C$24),"~ borderline 10–14 lb — tier may flip at the scale","✓")))))</f>
        <v/>
      </c>
      <c r="H148" s="15" t="str">
        <f aca="false">IF($B148="","",IF($Q148=1,"under-12",""))</f>
        <v/>
      </c>
      <c r="I148" s="15" t="str">
        <f aca="false">IF($M148=0,"",MAX(0,$C148-($N148+$O148+$P148)))</f>
        <v/>
      </c>
      <c r="J148" s="16" t="n">
        <f aca="false">IF($M148=0,0,MAX(0,$C148-($N148+$O148+$P148))*IF($Q148=1,Rates!$B$7,Rates!$B$6)+$N148*Rates!$B$8+$O148*Rates!$B$9+$P148*Rates!$B$10)</f>
        <v>0</v>
      </c>
      <c r="K148" s="16" t="n">
        <f aca="false">IF($M148=0,0,MAX(0,$C148-($N148+$O148+$P148))*IF($Q148=1,Rates!$C$7,Rates!$C$6)+$N148*Rates!$C$8+$O148*Rates!$C$9+$P148*Rates!$C$10)</f>
        <v>0</v>
      </c>
      <c r="M148" s="3" t="n">
        <f aca="false">IFERROR(MATCH($B148,Rates!$A$27:$A$35,0),0)</f>
        <v>0</v>
      </c>
      <c r="N148" s="3" t="n">
        <f aca="false">IF($M148=0,0,IF(AND(INDEX(Rates!$C$27:$C$35,$M148)=1,$D148&gt;=Rates!$B$22),$D148,0))</f>
        <v>0</v>
      </c>
      <c r="O148" s="3" t="n">
        <f aca="false">IF($M148=0,0,IF(AND(INDEX(Rates!$D$27:$D$35,$M148)=1,$E148&gt;=Rates!$B$22),$E148,0))</f>
        <v>0</v>
      </c>
      <c r="P148" s="3" t="n">
        <f aca="false">IF($M148=0,0,IF(AND(INDEX(Rates!$E$27:$E$35,$M148)=1,$F148&gt;=Rates!$B$22),$F148,0))</f>
        <v>0</v>
      </c>
      <c r="Q148" s="3" t="n">
        <f aca="false">IF($M148=0,0,IF(AND(INDEX(Rates!$B$27:$B$35,$M148)=1,$C148&lt;Rates!$B$23),1,0))</f>
        <v>0</v>
      </c>
    </row>
    <row r="149" customFormat="false" ht="15" hidden="false" customHeight="false" outlineLevel="0" collapsed="false">
      <c r="A149" s="14"/>
      <c r="B149" s="14"/>
      <c r="C149" s="14"/>
      <c r="D149" s="14"/>
      <c r="E149" s="14"/>
      <c r="F149" s="14"/>
      <c r="G149" s="15" t="str">
        <f aca="false">IF($B149="","",IF($M149=0,"✗ unknown species",IF($N149+$O149+$P149&gt;$C149,"✗ allocated more than fish weight",IF($D149+$E149+$F149&gt;$N149+$O149+$P149,"✗ some value-added not applied — 15 lb min per fish / species not eligible — bills as fillet",IF(AND(INDEX(Rates!$B$27:$B$35,$M149)=1,$C149&gt;=Rates!$B$24,$C149&lt;=Rates!$C$24),"~ borderline 10–14 lb — tier may flip at the scale","✓")))))</f>
        <v/>
      </c>
      <c r="H149" s="15" t="str">
        <f aca="false">IF($B149="","",IF($Q149=1,"under-12",""))</f>
        <v/>
      </c>
      <c r="I149" s="15" t="str">
        <f aca="false">IF($M149=0,"",MAX(0,$C149-($N149+$O149+$P149)))</f>
        <v/>
      </c>
      <c r="J149" s="16" t="n">
        <f aca="false">IF($M149=0,0,MAX(0,$C149-($N149+$O149+$P149))*IF($Q149=1,Rates!$B$7,Rates!$B$6)+$N149*Rates!$B$8+$O149*Rates!$B$9+$P149*Rates!$B$10)</f>
        <v>0</v>
      </c>
      <c r="K149" s="16" t="n">
        <f aca="false">IF($M149=0,0,MAX(0,$C149-($N149+$O149+$P149))*IF($Q149=1,Rates!$C$7,Rates!$C$6)+$N149*Rates!$C$8+$O149*Rates!$C$9+$P149*Rates!$C$10)</f>
        <v>0</v>
      </c>
      <c r="M149" s="3" t="n">
        <f aca="false">IFERROR(MATCH($B149,Rates!$A$27:$A$35,0),0)</f>
        <v>0</v>
      </c>
      <c r="N149" s="3" t="n">
        <f aca="false">IF($M149=0,0,IF(AND(INDEX(Rates!$C$27:$C$35,$M149)=1,$D149&gt;=Rates!$B$22),$D149,0))</f>
        <v>0</v>
      </c>
      <c r="O149" s="3" t="n">
        <f aca="false">IF($M149=0,0,IF(AND(INDEX(Rates!$D$27:$D$35,$M149)=1,$E149&gt;=Rates!$B$22),$E149,0))</f>
        <v>0</v>
      </c>
      <c r="P149" s="3" t="n">
        <f aca="false">IF($M149=0,0,IF(AND(INDEX(Rates!$E$27:$E$35,$M149)=1,$F149&gt;=Rates!$B$22),$F149,0))</f>
        <v>0</v>
      </c>
      <c r="Q149" s="3" t="n">
        <f aca="false">IF($M149=0,0,IF(AND(INDEX(Rates!$B$27:$B$35,$M149)=1,$C149&lt;Rates!$B$23),1,0))</f>
        <v>0</v>
      </c>
    </row>
    <row r="150" customFormat="false" ht="15" hidden="false" customHeight="false" outlineLevel="0" collapsed="false">
      <c r="A150" s="14"/>
      <c r="B150" s="14"/>
      <c r="C150" s="14"/>
      <c r="D150" s="14"/>
      <c r="E150" s="14"/>
      <c r="F150" s="14"/>
      <c r="G150" s="15" t="str">
        <f aca="false">IF($B150="","",IF($M150=0,"✗ unknown species",IF($N150+$O150+$P150&gt;$C150,"✗ allocated more than fish weight",IF($D150+$E150+$F150&gt;$N150+$O150+$P150,"✗ some value-added not applied — 15 lb min per fish / species not eligible — bills as fillet",IF(AND(INDEX(Rates!$B$27:$B$35,$M150)=1,$C150&gt;=Rates!$B$24,$C150&lt;=Rates!$C$24),"~ borderline 10–14 lb — tier may flip at the scale","✓")))))</f>
        <v/>
      </c>
      <c r="H150" s="15" t="str">
        <f aca="false">IF($B150="","",IF($Q150=1,"under-12",""))</f>
        <v/>
      </c>
      <c r="I150" s="15" t="str">
        <f aca="false">IF($M150=0,"",MAX(0,$C150-($N150+$O150+$P150)))</f>
        <v/>
      </c>
      <c r="J150" s="16" t="n">
        <f aca="false">IF($M150=0,0,MAX(0,$C150-($N150+$O150+$P150))*IF($Q150=1,Rates!$B$7,Rates!$B$6)+$N150*Rates!$B$8+$O150*Rates!$B$9+$P150*Rates!$B$10)</f>
        <v>0</v>
      </c>
      <c r="K150" s="16" t="n">
        <f aca="false">IF($M150=0,0,MAX(0,$C150-($N150+$O150+$P150))*IF($Q150=1,Rates!$C$7,Rates!$C$6)+$N150*Rates!$C$8+$O150*Rates!$C$9+$P150*Rates!$C$10)</f>
        <v>0</v>
      </c>
      <c r="M150" s="3" t="n">
        <f aca="false">IFERROR(MATCH($B150,Rates!$A$27:$A$35,0),0)</f>
        <v>0</v>
      </c>
      <c r="N150" s="3" t="n">
        <f aca="false">IF($M150=0,0,IF(AND(INDEX(Rates!$C$27:$C$35,$M150)=1,$D150&gt;=Rates!$B$22),$D150,0))</f>
        <v>0</v>
      </c>
      <c r="O150" s="3" t="n">
        <f aca="false">IF($M150=0,0,IF(AND(INDEX(Rates!$D$27:$D$35,$M150)=1,$E150&gt;=Rates!$B$22),$E150,0))</f>
        <v>0</v>
      </c>
      <c r="P150" s="3" t="n">
        <f aca="false">IF($M150=0,0,IF(AND(INDEX(Rates!$E$27:$E$35,$M150)=1,$F150&gt;=Rates!$B$22),$F150,0))</f>
        <v>0</v>
      </c>
      <c r="Q150" s="3" t="n">
        <f aca="false">IF($M150=0,0,IF(AND(INDEX(Rates!$B$27:$B$35,$M150)=1,$C150&lt;Rates!$B$23),1,0))</f>
        <v>0</v>
      </c>
    </row>
    <row r="151" customFormat="false" ht="15" hidden="false" customHeight="false" outlineLevel="0" collapsed="false">
      <c r="A151" s="14"/>
      <c r="B151" s="14"/>
      <c r="C151" s="14"/>
      <c r="D151" s="14"/>
      <c r="E151" s="14"/>
      <c r="F151" s="14"/>
      <c r="G151" s="15" t="str">
        <f aca="false">IF($B151="","",IF($M151=0,"✗ unknown species",IF($N151+$O151+$P151&gt;$C151,"✗ allocated more than fish weight",IF($D151+$E151+$F151&gt;$N151+$O151+$P151,"✗ some value-added not applied — 15 lb min per fish / species not eligible — bills as fillet",IF(AND(INDEX(Rates!$B$27:$B$35,$M151)=1,$C151&gt;=Rates!$B$24,$C151&lt;=Rates!$C$24),"~ borderline 10–14 lb — tier may flip at the scale","✓")))))</f>
        <v/>
      </c>
      <c r="H151" s="15" t="str">
        <f aca="false">IF($B151="","",IF($Q151=1,"under-12",""))</f>
        <v/>
      </c>
      <c r="I151" s="15" t="str">
        <f aca="false">IF($M151=0,"",MAX(0,$C151-($N151+$O151+$P151)))</f>
        <v/>
      </c>
      <c r="J151" s="16" t="n">
        <f aca="false">IF($M151=0,0,MAX(0,$C151-($N151+$O151+$P151))*IF($Q151=1,Rates!$B$7,Rates!$B$6)+$N151*Rates!$B$8+$O151*Rates!$B$9+$P151*Rates!$B$10)</f>
        <v>0</v>
      </c>
      <c r="K151" s="16" t="n">
        <f aca="false">IF($M151=0,0,MAX(0,$C151-($N151+$O151+$P151))*IF($Q151=1,Rates!$C$7,Rates!$C$6)+$N151*Rates!$C$8+$O151*Rates!$C$9+$P151*Rates!$C$10)</f>
        <v>0</v>
      </c>
      <c r="M151" s="3" t="n">
        <f aca="false">IFERROR(MATCH($B151,Rates!$A$27:$A$35,0),0)</f>
        <v>0</v>
      </c>
      <c r="N151" s="3" t="n">
        <f aca="false">IF($M151=0,0,IF(AND(INDEX(Rates!$C$27:$C$35,$M151)=1,$D151&gt;=Rates!$B$22),$D151,0))</f>
        <v>0</v>
      </c>
      <c r="O151" s="3" t="n">
        <f aca="false">IF($M151=0,0,IF(AND(INDEX(Rates!$D$27:$D$35,$M151)=1,$E151&gt;=Rates!$B$22),$E151,0))</f>
        <v>0</v>
      </c>
      <c r="P151" s="3" t="n">
        <f aca="false">IF($M151=0,0,IF(AND(INDEX(Rates!$E$27:$E$35,$M151)=1,$F151&gt;=Rates!$B$22),$F151,0))</f>
        <v>0</v>
      </c>
      <c r="Q151" s="3" t="n">
        <f aca="false">IF($M151=0,0,IF(AND(INDEX(Rates!$B$27:$B$35,$M151)=1,$C151&lt;Rates!$B$23),1,0))</f>
        <v>0</v>
      </c>
    </row>
    <row r="152" customFormat="false" ht="15" hidden="false" customHeight="false" outlineLevel="0" collapsed="false">
      <c r="A152" s="14"/>
      <c r="B152" s="14"/>
      <c r="C152" s="14"/>
      <c r="D152" s="14"/>
      <c r="E152" s="14"/>
      <c r="F152" s="14"/>
      <c r="G152" s="15" t="str">
        <f aca="false">IF($B152="","",IF($M152=0,"✗ unknown species",IF($N152+$O152+$P152&gt;$C152,"✗ allocated more than fish weight",IF($D152+$E152+$F152&gt;$N152+$O152+$P152,"✗ some value-added not applied — 15 lb min per fish / species not eligible — bills as fillet",IF(AND(INDEX(Rates!$B$27:$B$35,$M152)=1,$C152&gt;=Rates!$B$24,$C152&lt;=Rates!$C$24),"~ borderline 10–14 lb — tier may flip at the scale","✓")))))</f>
        <v/>
      </c>
      <c r="H152" s="15" t="str">
        <f aca="false">IF($B152="","",IF($Q152=1,"under-12",""))</f>
        <v/>
      </c>
      <c r="I152" s="15" t="str">
        <f aca="false">IF($M152=0,"",MAX(0,$C152-($N152+$O152+$P152)))</f>
        <v/>
      </c>
      <c r="J152" s="16" t="n">
        <f aca="false">IF($M152=0,0,MAX(0,$C152-($N152+$O152+$P152))*IF($Q152=1,Rates!$B$7,Rates!$B$6)+$N152*Rates!$B$8+$O152*Rates!$B$9+$P152*Rates!$B$10)</f>
        <v>0</v>
      </c>
      <c r="K152" s="16" t="n">
        <f aca="false">IF($M152=0,0,MAX(0,$C152-($N152+$O152+$P152))*IF($Q152=1,Rates!$C$7,Rates!$C$6)+$N152*Rates!$C$8+$O152*Rates!$C$9+$P152*Rates!$C$10)</f>
        <v>0</v>
      </c>
      <c r="M152" s="3" t="n">
        <f aca="false">IFERROR(MATCH($B152,Rates!$A$27:$A$35,0),0)</f>
        <v>0</v>
      </c>
      <c r="N152" s="3" t="n">
        <f aca="false">IF($M152=0,0,IF(AND(INDEX(Rates!$C$27:$C$35,$M152)=1,$D152&gt;=Rates!$B$22),$D152,0))</f>
        <v>0</v>
      </c>
      <c r="O152" s="3" t="n">
        <f aca="false">IF($M152=0,0,IF(AND(INDEX(Rates!$D$27:$D$35,$M152)=1,$E152&gt;=Rates!$B$22),$E152,0))</f>
        <v>0</v>
      </c>
      <c r="P152" s="3" t="n">
        <f aca="false">IF($M152=0,0,IF(AND(INDEX(Rates!$E$27:$E$35,$M152)=1,$F152&gt;=Rates!$B$22),$F152,0))</f>
        <v>0</v>
      </c>
      <c r="Q152" s="3" t="n">
        <f aca="false">IF($M152=0,0,IF(AND(INDEX(Rates!$B$27:$B$35,$M152)=1,$C152&lt;Rates!$B$23),1,0))</f>
        <v>0</v>
      </c>
    </row>
    <row r="153" customFormat="false" ht="15" hidden="false" customHeight="false" outlineLevel="0" collapsed="false">
      <c r="A153" s="14"/>
      <c r="B153" s="14"/>
      <c r="C153" s="14"/>
      <c r="D153" s="14"/>
      <c r="E153" s="14"/>
      <c r="F153" s="14"/>
      <c r="G153" s="15" t="str">
        <f aca="false">IF($B153="","",IF($M153=0,"✗ unknown species",IF($N153+$O153+$P153&gt;$C153,"✗ allocated more than fish weight",IF($D153+$E153+$F153&gt;$N153+$O153+$P153,"✗ some value-added not applied — 15 lb min per fish / species not eligible — bills as fillet",IF(AND(INDEX(Rates!$B$27:$B$35,$M153)=1,$C153&gt;=Rates!$B$24,$C153&lt;=Rates!$C$24),"~ borderline 10–14 lb — tier may flip at the scale","✓")))))</f>
        <v/>
      </c>
      <c r="H153" s="15" t="str">
        <f aca="false">IF($B153="","",IF($Q153=1,"under-12",""))</f>
        <v/>
      </c>
      <c r="I153" s="15" t="str">
        <f aca="false">IF($M153=0,"",MAX(0,$C153-($N153+$O153+$P153)))</f>
        <v/>
      </c>
      <c r="J153" s="16" t="n">
        <f aca="false">IF($M153=0,0,MAX(0,$C153-($N153+$O153+$P153))*IF($Q153=1,Rates!$B$7,Rates!$B$6)+$N153*Rates!$B$8+$O153*Rates!$B$9+$P153*Rates!$B$10)</f>
        <v>0</v>
      </c>
      <c r="K153" s="16" t="n">
        <f aca="false">IF($M153=0,0,MAX(0,$C153-($N153+$O153+$P153))*IF($Q153=1,Rates!$C$7,Rates!$C$6)+$N153*Rates!$C$8+$O153*Rates!$C$9+$P153*Rates!$C$10)</f>
        <v>0</v>
      </c>
      <c r="M153" s="3" t="n">
        <f aca="false">IFERROR(MATCH($B153,Rates!$A$27:$A$35,0),0)</f>
        <v>0</v>
      </c>
      <c r="N153" s="3" t="n">
        <f aca="false">IF($M153=0,0,IF(AND(INDEX(Rates!$C$27:$C$35,$M153)=1,$D153&gt;=Rates!$B$22),$D153,0))</f>
        <v>0</v>
      </c>
      <c r="O153" s="3" t="n">
        <f aca="false">IF($M153=0,0,IF(AND(INDEX(Rates!$D$27:$D$35,$M153)=1,$E153&gt;=Rates!$B$22),$E153,0))</f>
        <v>0</v>
      </c>
      <c r="P153" s="3" t="n">
        <f aca="false">IF($M153=0,0,IF(AND(INDEX(Rates!$E$27:$E$35,$M153)=1,$F153&gt;=Rates!$B$22),$F153,0))</f>
        <v>0</v>
      </c>
      <c r="Q153" s="3" t="n">
        <f aca="false">IF($M153=0,0,IF(AND(INDEX(Rates!$B$27:$B$35,$M153)=1,$C153&lt;Rates!$B$23),1,0))</f>
        <v>0</v>
      </c>
    </row>
    <row r="154" customFormat="false" ht="15" hidden="false" customHeight="false" outlineLevel="0" collapsed="false">
      <c r="A154" s="14"/>
      <c r="B154" s="14"/>
      <c r="C154" s="14"/>
      <c r="D154" s="14"/>
      <c r="E154" s="14"/>
      <c r="F154" s="14"/>
      <c r="G154" s="15" t="str">
        <f aca="false">IF($B154="","",IF($M154=0,"✗ unknown species",IF($N154+$O154+$P154&gt;$C154,"✗ allocated more than fish weight",IF($D154+$E154+$F154&gt;$N154+$O154+$P154,"✗ some value-added not applied — 15 lb min per fish / species not eligible — bills as fillet",IF(AND(INDEX(Rates!$B$27:$B$35,$M154)=1,$C154&gt;=Rates!$B$24,$C154&lt;=Rates!$C$24),"~ borderline 10–14 lb — tier may flip at the scale","✓")))))</f>
        <v/>
      </c>
      <c r="H154" s="15" t="str">
        <f aca="false">IF($B154="","",IF($Q154=1,"under-12",""))</f>
        <v/>
      </c>
      <c r="I154" s="15" t="str">
        <f aca="false">IF($M154=0,"",MAX(0,$C154-($N154+$O154+$P154)))</f>
        <v/>
      </c>
      <c r="J154" s="16" t="n">
        <f aca="false">IF($M154=0,0,MAX(0,$C154-($N154+$O154+$P154))*IF($Q154=1,Rates!$B$7,Rates!$B$6)+$N154*Rates!$B$8+$O154*Rates!$B$9+$P154*Rates!$B$10)</f>
        <v>0</v>
      </c>
      <c r="K154" s="16" t="n">
        <f aca="false">IF($M154=0,0,MAX(0,$C154-($N154+$O154+$P154))*IF($Q154=1,Rates!$C$7,Rates!$C$6)+$N154*Rates!$C$8+$O154*Rates!$C$9+$P154*Rates!$C$10)</f>
        <v>0</v>
      </c>
      <c r="M154" s="3" t="n">
        <f aca="false">IFERROR(MATCH($B154,Rates!$A$27:$A$35,0),0)</f>
        <v>0</v>
      </c>
      <c r="N154" s="3" t="n">
        <f aca="false">IF($M154=0,0,IF(AND(INDEX(Rates!$C$27:$C$35,$M154)=1,$D154&gt;=Rates!$B$22),$D154,0))</f>
        <v>0</v>
      </c>
      <c r="O154" s="3" t="n">
        <f aca="false">IF($M154=0,0,IF(AND(INDEX(Rates!$D$27:$D$35,$M154)=1,$E154&gt;=Rates!$B$22),$E154,0))</f>
        <v>0</v>
      </c>
      <c r="P154" s="3" t="n">
        <f aca="false">IF($M154=0,0,IF(AND(INDEX(Rates!$E$27:$E$35,$M154)=1,$F154&gt;=Rates!$B$22),$F154,0))</f>
        <v>0</v>
      </c>
      <c r="Q154" s="3" t="n">
        <f aca="false">IF($M154=0,0,IF(AND(INDEX(Rates!$B$27:$B$35,$M154)=1,$C154&lt;Rates!$B$23),1,0))</f>
        <v>0</v>
      </c>
    </row>
    <row r="155" customFormat="false" ht="15" hidden="false" customHeight="false" outlineLevel="0" collapsed="false">
      <c r="A155" s="14"/>
      <c r="B155" s="14"/>
      <c r="C155" s="14"/>
      <c r="D155" s="14"/>
      <c r="E155" s="14"/>
      <c r="F155" s="14"/>
      <c r="G155" s="15" t="str">
        <f aca="false">IF($B155="","",IF($M155=0,"✗ unknown species",IF($N155+$O155+$P155&gt;$C155,"✗ allocated more than fish weight",IF($D155+$E155+$F155&gt;$N155+$O155+$P155,"✗ some value-added not applied — 15 lb min per fish / species not eligible — bills as fillet",IF(AND(INDEX(Rates!$B$27:$B$35,$M155)=1,$C155&gt;=Rates!$B$24,$C155&lt;=Rates!$C$24),"~ borderline 10–14 lb — tier may flip at the scale","✓")))))</f>
        <v/>
      </c>
      <c r="H155" s="15" t="str">
        <f aca="false">IF($B155="","",IF($Q155=1,"under-12",""))</f>
        <v/>
      </c>
      <c r="I155" s="15" t="str">
        <f aca="false">IF($M155=0,"",MAX(0,$C155-($N155+$O155+$P155)))</f>
        <v/>
      </c>
      <c r="J155" s="16" t="n">
        <f aca="false">IF($M155=0,0,MAX(0,$C155-($N155+$O155+$P155))*IF($Q155=1,Rates!$B$7,Rates!$B$6)+$N155*Rates!$B$8+$O155*Rates!$B$9+$P155*Rates!$B$10)</f>
        <v>0</v>
      </c>
      <c r="K155" s="16" t="n">
        <f aca="false">IF($M155=0,0,MAX(0,$C155-($N155+$O155+$P155))*IF($Q155=1,Rates!$C$7,Rates!$C$6)+$N155*Rates!$C$8+$O155*Rates!$C$9+$P155*Rates!$C$10)</f>
        <v>0</v>
      </c>
      <c r="M155" s="3" t="n">
        <f aca="false">IFERROR(MATCH($B155,Rates!$A$27:$A$35,0),0)</f>
        <v>0</v>
      </c>
      <c r="N155" s="3" t="n">
        <f aca="false">IF($M155=0,0,IF(AND(INDEX(Rates!$C$27:$C$35,$M155)=1,$D155&gt;=Rates!$B$22),$D155,0))</f>
        <v>0</v>
      </c>
      <c r="O155" s="3" t="n">
        <f aca="false">IF($M155=0,0,IF(AND(INDEX(Rates!$D$27:$D$35,$M155)=1,$E155&gt;=Rates!$B$22),$E155,0))</f>
        <v>0</v>
      </c>
      <c r="P155" s="3" t="n">
        <f aca="false">IF($M155=0,0,IF(AND(INDEX(Rates!$E$27:$E$35,$M155)=1,$F155&gt;=Rates!$B$22),$F155,0))</f>
        <v>0</v>
      </c>
      <c r="Q155" s="3" t="n">
        <f aca="false">IF($M155=0,0,IF(AND(INDEX(Rates!$B$27:$B$35,$M155)=1,$C155&lt;Rates!$B$23),1,0))</f>
        <v>0</v>
      </c>
    </row>
  </sheetData>
  <conditionalFormatting sqref="G6:G155">
    <cfRule type="containsText" priority="2" operator="containsText" aboveAverage="0" equalAverage="0" bottom="0" percent="0" rank="0" text="✗" dxfId="0">
      <formula>NOT(ISERROR(SEARCH("✗",G6)))</formula>
    </cfRule>
    <cfRule type="containsText" priority="3" operator="containsText" aboveAverage="0" equalAverage="0" bottom="0" percent="0" rank="0" text="~" dxfId="1">
      <formula>NOT(ISERROR(SEARCH("~",G6)))</formula>
    </cfRule>
    <cfRule type="containsText" priority="4" operator="containsText" aboveAverage="0" equalAverage="0" bottom="0" percent="0" rank="0" text="✓" dxfId="2">
      <formula>NOT(ISERROR(SEARCH("✓",G6)))</formula>
    </cfRule>
  </conditionalFormatting>
  <dataValidations count="2">
    <dataValidation allowBlank="true" errorStyle="stop" operator="between" showDropDown="false" showErrorMessage="false" showInputMessage="false" sqref="B6:B155" type="list">
      <formula1>Rates!$A$27:$A$35</formula1>
      <formula2>0</formula2>
    </dataValidation>
    <dataValidation allowBlank="true" error="Day must be 1–8" errorStyle="stop" operator="between" showDropDown="false" showErrorMessage="true" showInputMessage="false" sqref="A6:A155" type="whole">
      <formula1>1</formula1>
      <formula2>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63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64</v>
      </c>
    </row>
    <row r="4" customFormat="false" ht="15" hidden="false" customHeight="false" outlineLevel="0" collapsed="false">
      <c r="A4" s="4" t="s">
        <v>65</v>
      </c>
      <c r="B4" s="17" t="s">
        <v>66</v>
      </c>
    </row>
    <row r="6" customFormat="false" ht="15" hidden="false" customHeight="false" outlineLevel="0" collapsed="false">
      <c r="A6" s="12" t="s">
        <v>48</v>
      </c>
      <c r="B6" s="12" t="s">
        <v>67</v>
      </c>
      <c r="C6" s="12" t="s">
        <v>68</v>
      </c>
      <c r="D6" s="12" t="s">
        <v>56</v>
      </c>
      <c r="E6" s="12" t="s">
        <v>57</v>
      </c>
      <c r="F6" s="12" t="s">
        <v>69</v>
      </c>
    </row>
    <row r="7" customFormat="false" ht="15" hidden="false" customHeight="false" outlineLevel="0" collapsed="false">
      <c r="A7" s="15" t="n">
        <v>1</v>
      </c>
      <c r="B7" s="15" t="n">
        <f aca="false">COUNTIFS('My Catch Log'!$A$6:$A$155,$A7,'My Catch Log'!$B$6:$B$155,"&lt;&gt;")</f>
        <v>1</v>
      </c>
      <c r="C7" s="15" t="n">
        <f aca="false">SUMIFS('My Catch Log'!$C$6:$C$155,'My Catch Log'!$A$6:$A$155,$A7)</f>
        <v>25</v>
      </c>
      <c r="D7" s="16" t="n">
        <f aca="false">SUMIFS('My Catch Log'!$J$6:$J$155,'My Catch Log'!$A$6:$A$155,$A7)</f>
        <v>72</v>
      </c>
      <c r="E7" s="16" t="n">
        <f aca="false">SUMIFS('My Catch Log'!$K$6:$K$155,'My Catch Log'!$A$6:$A$155,$A7)</f>
        <v>60.95</v>
      </c>
      <c r="F7" s="15" t="str">
        <f aca="false">IF(AND(D7=0,E7=0),"",IF(D7&lt;E7-0.005,"Fisherman's",IF(E7&lt;D7-0.005,"Five Star","— tie —")))</f>
        <v>Five Star</v>
      </c>
    </row>
    <row r="8" customFormat="false" ht="15" hidden="false" customHeight="false" outlineLevel="0" collapsed="false">
      <c r="A8" s="15" t="n">
        <v>2</v>
      </c>
      <c r="B8" s="15" t="n">
        <f aca="false">COUNTIFS('My Catch Log'!$A$6:$A$155,$A8,'My Catch Log'!$B$6:$B$155,"&lt;&gt;")</f>
        <v>0</v>
      </c>
      <c r="C8" s="15" t="n">
        <f aca="false">SUMIFS('My Catch Log'!$C$6:$C$155,'My Catch Log'!$A$6:$A$155,$A8)</f>
        <v>0</v>
      </c>
      <c r="D8" s="16" t="n">
        <f aca="false">SUMIFS('My Catch Log'!$J$6:$J$155,'My Catch Log'!$A$6:$A$155,$A8)</f>
        <v>0</v>
      </c>
      <c r="E8" s="16" t="n">
        <f aca="false">SUMIFS('My Catch Log'!$K$6:$K$155,'My Catch Log'!$A$6:$A$155,$A8)</f>
        <v>0</v>
      </c>
      <c r="F8" s="15" t="str">
        <f aca="false">IF(AND(D8=0,E8=0),"",IF(D8&lt;E8-0.005,"Fisherman's",IF(E8&lt;D8-0.005,"Five Star","— tie —")))</f>
        <v/>
      </c>
    </row>
    <row r="9" customFormat="false" ht="15" hidden="false" customHeight="false" outlineLevel="0" collapsed="false">
      <c r="A9" s="15" t="n">
        <v>3</v>
      </c>
      <c r="B9" s="15" t="n">
        <f aca="false">COUNTIFS('My Catch Log'!$A$6:$A$155,$A9,'My Catch Log'!$B$6:$B$155,"&lt;&gt;")</f>
        <v>0</v>
      </c>
      <c r="C9" s="15" t="n">
        <f aca="false">SUMIFS('My Catch Log'!$C$6:$C$155,'My Catch Log'!$A$6:$A$155,$A9)</f>
        <v>0</v>
      </c>
      <c r="D9" s="16" t="n">
        <f aca="false">SUMIFS('My Catch Log'!$J$6:$J$155,'My Catch Log'!$A$6:$A$155,$A9)</f>
        <v>0</v>
      </c>
      <c r="E9" s="16" t="n">
        <f aca="false">SUMIFS('My Catch Log'!$K$6:$K$155,'My Catch Log'!$A$6:$A$155,$A9)</f>
        <v>0</v>
      </c>
      <c r="F9" s="15" t="str">
        <f aca="false">IF(AND(D9=0,E9=0),"",IF(D9&lt;E9-0.005,"Fisherman's",IF(E9&lt;D9-0.005,"Five Star","— tie —")))</f>
        <v/>
      </c>
    </row>
    <row r="10" customFormat="false" ht="15" hidden="false" customHeight="false" outlineLevel="0" collapsed="false">
      <c r="A10" s="15" t="n">
        <v>4</v>
      </c>
      <c r="B10" s="15" t="n">
        <f aca="false">COUNTIFS('My Catch Log'!$A$6:$A$155,$A10,'My Catch Log'!$B$6:$B$155,"&lt;&gt;")</f>
        <v>0</v>
      </c>
      <c r="C10" s="15" t="n">
        <f aca="false">SUMIFS('My Catch Log'!$C$6:$C$155,'My Catch Log'!$A$6:$A$155,$A10)</f>
        <v>0</v>
      </c>
      <c r="D10" s="16" t="n">
        <f aca="false">SUMIFS('My Catch Log'!$J$6:$J$155,'My Catch Log'!$A$6:$A$155,$A10)</f>
        <v>0</v>
      </c>
      <c r="E10" s="16" t="n">
        <f aca="false">SUMIFS('My Catch Log'!$K$6:$K$155,'My Catch Log'!$A$6:$A$155,$A10)</f>
        <v>0</v>
      </c>
      <c r="F10" s="15" t="str">
        <f aca="false">IF(AND(D10=0,E10=0),"",IF(D10&lt;E10-0.005,"Fisherman's",IF(E10&lt;D10-0.005,"Five Star","— tie —")))</f>
        <v/>
      </c>
    </row>
    <row r="11" customFormat="false" ht="15" hidden="false" customHeight="false" outlineLevel="0" collapsed="false">
      <c r="A11" s="15" t="n">
        <v>5</v>
      </c>
      <c r="B11" s="15" t="n">
        <f aca="false">COUNTIFS('My Catch Log'!$A$6:$A$155,$A11,'My Catch Log'!$B$6:$B$155,"&lt;&gt;")</f>
        <v>0</v>
      </c>
      <c r="C11" s="15" t="n">
        <f aca="false">SUMIFS('My Catch Log'!$C$6:$C$155,'My Catch Log'!$A$6:$A$155,$A11)</f>
        <v>0</v>
      </c>
      <c r="D11" s="16" t="n">
        <f aca="false">SUMIFS('My Catch Log'!$J$6:$J$155,'My Catch Log'!$A$6:$A$155,$A11)</f>
        <v>0</v>
      </c>
      <c r="E11" s="16" t="n">
        <f aca="false">SUMIFS('My Catch Log'!$K$6:$K$155,'My Catch Log'!$A$6:$A$155,$A11)</f>
        <v>0</v>
      </c>
      <c r="F11" s="15" t="str">
        <f aca="false">IF(AND(D11=0,E11=0),"",IF(D11&lt;E11-0.005,"Fisherman's",IF(E11&lt;D11-0.005,"Five Star","— tie —")))</f>
        <v/>
      </c>
    </row>
    <row r="12" customFormat="false" ht="15" hidden="false" customHeight="false" outlineLevel="0" collapsed="false">
      <c r="A12" s="15" t="n">
        <v>6</v>
      </c>
      <c r="B12" s="15" t="n">
        <f aca="false">COUNTIFS('My Catch Log'!$A$6:$A$155,$A12,'My Catch Log'!$B$6:$B$155,"&lt;&gt;")</f>
        <v>0</v>
      </c>
      <c r="C12" s="15" t="n">
        <f aca="false">SUMIFS('My Catch Log'!$C$6:$C$155,'My Catch Log'!$A$6:$A$155,$A12)</f>
        <v>0</v>
      </c>
      <c r="D12" s="16" t="n">
        <f aca="false">SUMIFS('My Catch Log'!$J$6:$J$155,'My Catch Log'!$A$6:$A$155,$A12)</f>
        <v>0</v>
      </c>
      <c r="E12" s="16" t="n">
        <f aca="false">SUMIFS('My Catch Log'!$K$6:$K$155,'My Catch Log'!$A$6:$A$155,$A12)</f>
        <v>0</v>
      </c>
      <c r="F12" s="15" t="str">
        <f aca="false">IF(AND(D12=0,E12=0),"",IF(D12&lt;E12-0.005,"Fisherman's",IF(E12&lt;D12-0.005,"Five Star","— tie —")))</f>
        <v/>
      </c>
    </row>
    <row r="13" customFormat="false" ht="15" hidden="false" customHeight="false" outlineLevel="0" collapsed="false">
      <c r="A13" s="15" t="n">
        <v>7</v>
      </c>
      <c r="B13" s="15" t="n">
        <f aca="false">COUNTIFS('My Catch Log'!$A$6:$A$155,$A13,'My Catch Log'!$B$6:$B$155,"&lt;&gt;")</f>
        <v>0</v>
      </c>
      <c r="C13" s="15" t="n">
        <f aca="false">SUMIFS('My Catch Log'!$C$6:$C$155,'My Catch Log'!$A$6:$A$155,$A13)</f>
        <v>0</v>
      </c>
      <c r="D13" s="16" t="n">
        <f aca="false">SUMIFS('My Catch Log'!$J$6:$J$155,'My Catch Log'!$A$6:$A$155,$A13)</f>
        <v>0</v>
      </c>
      <c r="E13" s="16" t="n">
        <f aca="false">SUMIFS('My Catch Log'!$K$6:$K$155,'My Catch Log'!$A$6:$A$155,$A13)</f>
        <v>0</v>
      </c>
      <c r="F13" s="15" t="str">
        <f aca="false">IF(AND(D13=0,E13=0),"",IF(D13&lt;E13-0.005,"Fisherman's",IF(E13&lt;D13-0.005,"Five Star","— tie —")))</f>
        <v/>
      </c>
    </row>
    <row r="14" customFormat="false" ht="15" hidden="false" customHeight="false" outlineLevel="0" collapsed="false">
      <c r="A14" s="15" t="n">
        <v>8</v>
      </c>
      <c r="B14" s="15" t="n">
        <f aca="false">COUNTIFS('My Catch Log'!$A$6:$A$155,$A14,'My Catch Log'!$B$6:$B$155,"&lt;&gt;")</f>
        <v>0</v>
      </c>
      <c r="C14" s="15" t="n">
        <f aca="false">SUMIFS('My Catch Log'!$C$6:$C$155,'My Catch Log'!$A$6:$A$155,$A14)</f>
        <v>0</v>
      </c>
      <c r="D14" s="16" t="n">
        <f aca="false">SUMIFS('My Catch Log'!$J$6:$J$155,'My Catch Log'!$A$6:$A$155,$A14)</f>
        <v>0</v>
      </c>
      <c r="E14" s="16" t="n">
        <f aca="false">SUMIFS('My Catch Log'!$K$6:$K$155,'My Catch Log'!$A$6:$A$155,$A14)</f>
        <v>0</v>
      </c>
      <c r="F14" s="15" t="str">
        <f aca="false">IF(AND(D14=0,E14=0),"",IF(D14&lt;E14-0.005,"Fisherman's",IF(E14&lt;D14-0.005,"Five Star","— tie —")))</f>
        <v/>
      </c>
    </row>
    <row r="15" customFormat="false" ht="15" hidden="false" customHeight="false" outlineLevel="0" collapsed="false">
      <c r="A15" s="4" t="s">
        <v>70</v>
      </c>
      <c r="B15" s="7" t="n">
        <f aca="false">SUM(B7:B14)</f>
        <v>1</v>
      </c>
      <c r="C15" s="7" t="n">
        <f aca="false">SUM(C7:C14)</f>
        <v>25</v>
      </c>
      <c r="D15" s="18" t="n">
        <f aca="false">SUM(D7:D14)</f>
        <v>72</v>
      </c>
      <c r="E15" s="18" t="n">
        <f aca="false">SUM(E7:E14)</f>
        <v>60.95</v>
      </c>
      <c r="F15" s="4" t="str">
        <f aca="false">IF(AND(D15=0,E15=0),"",IF(D15&lt;E15-0.005,"Fisherman's",IF(E15&lt;D15-0.005,"Five Star","— tie —")))</f>
        <v>Five Star</v>
      </c>
    </row>
    <row r="17" customFormat="false" ht="15" hidden="false" customHeight="false" outlineLevel="0" collapsed="false">
      <c r="A17" s="4" t="s">
        <v>71</v>
      </c>
    </row>
    <row r="18" customFormat="false" ht="15" hidden="false" customHeight="false" outlineLevel="0" collapsed="false">
      <c r="A18" s="7" t="s">
        <v>72</v>
      </c>
      <c r="B18" s="14" t="n">
        <v>0</v>
      </c>
    </row>
    <row r="19" customFormat="false" ht="15" hidden="false" customHeight="false" outlineLevel="0" collapsed="false">
      <c r="A19" s="7" t="s">
        <v>73</v>
      </c>
      <c r="B19" s="14" t="n">
        <v>0</v>
      </c>
    </row>
    <row r="20" customFormat="false" ht="15" hidden="false" customHeight="false" outlineLevel="0" collapsed="false">
      <c r="A20" s="7" t="s">
        <v>74</v>
      </c>
      <c r="B20" s="14" t="n">
        <v>0</v>
      </c>
    </row>
    <row r="22" customFormat="false" ht="15" hidden="false" customHeight="false" outlineLevel="0" collapsed="false">
      <c r="A22" s="6"/>
      <c r="B22" s="6" t="s">
        <v>5</v>
      </c>
      <c r="C22" s="6" t="s">
        <v>6</v>
      </c>
    </row>
    <row r="23" customFormat="false" ht="15" hidden="false" customHeight="false" outlineLevel="0" collapsed="false">
      <c r="A23" s="7" t="s">
        <v>75</v>
      </c>
      <c r="B23" s="19" t="n">
        <f aca="false">D15+$B$18*Rates!$B$11+$B$19*Rates!$B$12</f>
        <v>72</v>
      </c>
      <c r="C23" s="19" t="n">
        <f aca="false">E15+$B$18*Rates!$C$11+$B$19*Rates!$C$12</f>
        <v>60.95</v>
      </c>
    </row>
    <row r="24" customFormat="false" ht="15" hidden="false" customHeight="false" outlineLevel="0" collapsed="false">
      <c r="A24" s="7" t="s">
        <v>76</v>
      </c>
      <c r="B24" s="19" t="n">
        <f aca="false">IF($B$4="card",B23*Rates!$B$16,0)</f>
        <v>0</v>
      </c>
      <c r="C24" s="19" t="n">
        <f aca="false">IF($B$4="card",C23*Rates!$C$16,0)</f>
        <v>0</v>
      </c>
    </row>
    <row r="25" customFormat="false" ht="15" hidden="false" customHeight="false" outlineLevel="0" collapsed="false">
      <c r="A25" s="4" t="s">
        <v>77</v>
      </c>
      <c r="B25" s="19" t="n">
        <f aca="false">B23+B24</f>
        <v>72</v>
      </c>
      <c r="C25" s="19" t="n">
        <f aca="false">C23+C24</f>
        <v>60.95</v>
      </c>
    </row>
    <row r="26" customFormat="false" ht="15" hidden="false" customHeight="false" outlineLevel="0" collapsed="false">
      <c r="A26" s="7" t="s">
        <v>78</v>
      </c>
      <c r="B26" s="19" t="n">
        <f aca="false">B25-Rates!$B$15</f>
        <v>-28</v>
      </c>
      <c r="C26" s="19" t="n">
        <f aca="false">C25-Rates!$C$15</f>
        <v>60.95</v>
      </c>
    </row>
    <row r="27" customFormat="false" ht="15" hidden="false" customHeight="false" outlineLevel="0" collapsed="false">
      <c r="A27" s="7" t="s">
        <v>79</v>
      </c>
      <c r="B27" s="18" t="n">
        <f aca="false">IF($B$20&gt;0,$B$20*Rates!$B$18+Rates!$B$19+MAX(0,$B$20-2)*Rates!$B$20,0)</f>
        <v>0</v>
      </c>
      <c r="C27" s="3" t="s">
        <v>80</v>
      </c>
    </row>
    <row r="28" customFormat="false" ht="15" hidden="false" customHeight="false" outlineLevel="0" collapsed="false">
      <c r="A28" s="4" t="s">
        <v>81</v>
      </c>
      <c r="B28" s="20" t="str">
        <f aca="false">IF(AND(B23=0,C23=0),"",IF(B23&lt;C23-0.005,"Fisherman's",IF(C23&lt;B23-0.005,"Five Star","— tie —")))</f>
        <v>Five Star</v>
      </c>
    </row>
    <row r="30" customFormat="false" ht="15" hidden="false" customHeight="false" outlineLevel="0" collapsed="false">
      <c r="A30" s="4" t="s">
        <v>82</v>
      </c>
    </row>
    <row r="31" customFormat="false" ht="15" hidden="false" customHeight="false" outlineLevel="0" collapsed="false">
      <c r="A31" s="12" t="s">
        <v>30</v>
      </c>
      <c r="B31" s="12" t="s">
        <v>67</v>
      </c>
      <c r="C31" s="12" t="s">
        <v>68</v>
      </c>
      <c r="D31" s="12" t="s">
        <v>83</v>
      </c>
      <c r="E31" s="12" t="s">
        <v>50</v>
      </c>
      <c r="F31" s="12" t="s">
        <v>51</v>
      </c>
      <c r="G31" s="12" t="s">
        <v>52</v>
      </c>
    </row>
    <row r="32" customFormat="false" ht="15" hidden="false" customHeight="false" outlineLevel="0" collapsed="false">
      <c r="A32" s="15" t="s">
        <v>34</v>
      </c>
      <c r="B32" s="15" t="n">
        <f aca="false">COUNTIFS('My Catch Log'!$B$6:$B$155,$A32)</f>
        <v>1</v>
      </c>
      <c r="C32" s="15" t="n">
        <f aca="false">SUMIFS('My Catch Log'!$C$6:$C$155,'My Catch Log'!$B$6:$B$155,$A32)</f>
        <v>25</v>
      </c>
      <c r="D32" s="15" t="n">
        <f aca="false">SUMPRODUCT(('My Catch Log'!$B$6:$B$155=$A32)*('My Catch Log'!$Q$6:$Q$155)*('My Catch Log'!$C$6:$C$155))</f>
        <v>0</v>
      </c>
      <c r="E32" s="15" t="n">
        <f aca="false">SUMIFS('My Catch Log'!$N$6:$N$155,'My Catch Log'!$B$6:$B$155,$A32)</f>
        <v>15</v>
      </c>
      <c r="F32" s="15" t="n">
        <f aca="false">SUMIFS('My Catch Log'!$O$6:$O$155,'My Catch Log'!$B$6:$B$155,$A32)</f>
        <v>0</v>
      </c>
      <c r="G32" s="15" t="n">
        <f aca="false">SUMIFS('My Catch Log'!$P$6:$P$155,'My Catch Log'!$B$6:$B$155,$A32)</f>
        <v>0</v>
      </c>
    </row>
    <row r="33" customFormat="false" ht="15" hidden="false" customHeight="false" outlineLevel="0" collapsed="false">
      <c r="A33" s="15" t="s">
        <v>35</v>
      </c>
      <c r="B33" s="15" t="n">
        <f aca="false">COUNTIFS('My Catch Log'!$B$6:$B$155,$A33)</f>
        <v>0</v>
      </c>
      <c r="C33" s="15" t="n">
        <f aca="false">SUMIFS('My Catch Log'!$C$6:$C$155,'My Catch Log'!$B$6:$B$155,$A33)</f>
        <v>0</v>
      </c>
      <c r="D33" s="15" t="n">
        <f aca="false">SUMPRODUCT(('My Catch Log'!$B$6:$B$155=$A33)*('My Catch Log'!$Q$6:$Q$155)*('My Catch Log'!$C$6:$C$155))</f>
        <v>0</v>
      </c>
      <c r="E33" s="15" t="n">
        <f aca="false">SUMIFS('My Catch Log'!$N$6:$N$155,'My Catch Log'!$B$6:$B$155,$A33)</f>
        <v>0</v>
      </c>
      <c r="F33" s="15" t="n">
        <f aca="false">SUMIFS('My Catch Log'!$O$6:$O$155,'My Catch Log'!$B$6:$B$155,$A33)</f>
        <v>0</v>
      </c>
      <c r="G33" s="15" t="n">
        <f aca="false">SUMIFS('My Catch Log'!$P$6:$P$155,'My Catch Log'!$B$6:$B$155,$A33)</f>
        <v>0</v>
      </c>
    </row>
    <row r="34" customFormat="false" ht="15" hidden="false" customHeight="false" outlineLevel="0" collapsed="false">
      <c r="A34" s="15" t="s">
        <v>36</v>
      </c>
      <c r="B34" s="15" t="n">
        <f aca="false">COUNTIFS('My Catch Log'!$B$6:$B$155,$A34)</f>
        <v>0</v>
      </c>
      <c r="C34" s="15" t="n">
        <f aca="false">SUMIFS('My Catch Log'!$C$6:$C$155,'My Catch Log'!$B$6:$B$155,$A34)</f>
        <v>0</v>
      </c>
      <c r="D34" s="15" t="n">
        <f aca="false">SUMPRODUCT(('My Catch Log'!$B$6:$B$155=$A34)*('My Catch Log'!$Q$6:$Q$155)*('My Catch Log'!$C$6:$C$155))</f>
        <v>0</v>
      </c>
      <c r="E34" s="15" t="n">
        <f aca="false">SUMIFS('My Catch Log'!$N$6:$N$155,'My Catch Log'!$B$6:$B$155,$A34)</f>
        <v>0</v>
      </c>
      <c r="F34" s="15" t="n">
        <f aca="false">SUMIFS('My Catch Log'!$O$6:$O$155,'My Catch Log'!$B$6:$B$155,$A34)</f>
        <v>0</v>
      </c>
      <c r="G34" s="15" t="n">
        <f aca="false">SUMIFS('My Catch Log'!$P$6:$P$155,'My Catch Log'!$B$6:$B$155,$A34)</f>
        <v>0</v>
      </c>
    </row>
    <row r="35" customFormat="false" ht="15" hidden="false" customHeight="false" outlineLevel="0" collapsed="false">
      <c r="A35" s="15" t="s">
        <v>37</v>
      </c>
      <c r="B35" s="15" t="n">
        <f aca="false">COUNTIFS('My Catch Log'!$B$6:$B$155,$A35)</f>
        <v>0</v>
      </c>
      <c r="C35" s="15" t="n">
        <f aca="false">SUMIFS('My Catch Log'!$C$6:$C$155,'My Catch Log'!$B$6:$B$155,$A35)</f>
        <v>0</v>
      </c>
      <c r="D35" s="15" t="n">
        <f aca="false">SUMPRODUCT(('My Catch Log'!$B$6:$B$155=$A35)*('My Catch Log'!$Q$6:$Q$155)*('My Catch Log'!$C$6:$C$155))</f>
        <v>0</v>
      </c>
      <c r="E35" s="15" t="n">
        <f aca="false">SUMIFS('My Catch Log'!$N$6:$N$155,'My Catch Log'!$B$6:$B$155,$A35)</f>
        <v>0</v>
      </c>
      <c r="F35" s="15" t="n">
        <f aca="false">SUMIFS('My Catch Log'!$O$6:$O$155,'My Catch Log'!$B$6:$B$155,$A35)</f>
        <v>0</v>
      </c>
      <c r="G35" s="15" t="n">
        <f aca="false">SUMIFS('My Catch Log'!$P$6:$P$155,'My Catch Log'!$B$6:$B$155,$A35)</f>
        <v>0</v>
      </c>
    </row>
    <row r="36" customFormat="false" ht="15" hidden="false" customHeight="false" outlineLevel="0" collapsed="false">
      <c r="A36" s="15" t="s">
        <v>38</v>
      </c>
      <c r="B36" s="15" t="n">
        <f aca="false">COUNTIFS('My Catch Log'!$B$6:$B$155,$A36)</f>
        <v>0</v>
      </c>
      <c r="C36" s="15" t="n">
        <f aca="false">SUMIFS('My Catch Log'!$C$6:$C$155,'My Catch Log'!$B$6:$B$155,$A36)</f>
        <v>0</v>
      </c>
      <c r="D36" s="15" t="n">
        <f aca="false">SUMPRODUCT(('My Catch Log'!$B$6:$B$155=$A36)*('My Catch Log'!$Q$6:$Q$155)*('My Catch Log'!$C$6:$C$155))</f>
        <v>0</v>
      </c>
      <c r="E36" s="15" t="n">
        <f aca="false">SUMIFS('My Catch Log'!$N$6:$N$155,'My Catch Log'!$B$6:$B$155,$A36)</f>
        <v>0</v>
      </c>
      <c r="F36" s="15" t="n">
        <f aca="false">SUMIFS('My Catch Log'!$O$6:$O$155,'My Catch Log'!$B$6:$B$155,$A36)</f>
        <v>0</v>
      </c>
      <c r="G36" s="15" t="n">
        <f aca="false">SUMIFS('My Catch Log'!$P$6:$P$155,'My Catch Log'!$B$6:$B$155,$A36)</f>
        <v>0</v>
      </c>
    </row>
    <row r="37" customFormat="false" ht="15" hidden="false" customHeight="false" outlineLevel="0" collapsed="false">
      <c r="A37" s="15" t="s">
        <v>39</v>
      </c>
      <c r="B37" s="15" t="n">
        <f aca="false">COUNTIFS('My Catch Log'!$B$6:$B$155,$A37)</f>
        <v>0</v>
      </c>
      <c r="C37" s="15" t="n">
        <f aca="false">SUMIFS('My Catch Log'!$C$6:$C$155,'My Catch Log'!$B$6:$B$155,$A37)</f>
        <v>0</v>
      </c>
      <c r="D37" s="15" t="n">
        <f aca="false">SUMPRODUCT(('My Catch Log'!$B$6:$B$155=$A37)*('My Catch Log'!$Q$6:$Q$155)*('My Catch Log'!$C$6:$C$155))</f>
        <v>0</v>
      </c>
      <c r="E37" s="15" t="n">
        <f aca="false">SUMIFS('My Catch Log'!$N$6:$N$155,'My Catch Log'!$B$6:$B$155,$A37)</f>
        <v>0</v>
      </c>
      <c r="F37" s="15" t="n">
        <f aca="false">SUMIFS('My Catch Log'!$O$6:$O$155,'My Catch Log'!$B$6:$B$155,$A37)</f>
        <v>0</v>
      </c>
      <c r="G37" s="15" t="n">
        <f aca="false">SUMIFS('My Catch Log'!$P$6:$P$155,'My Catch Log'!$B$6:$B$155,$A37)</f>
        <v>0</v>
      </c>
    </row>
    <row r="38" customFormat="false" ht="15" hidden="false" customHeight="false" outlineLevel="0" collapsed="false">
      <c r="A38" s="15" t="s">
        <v>40</v>
      </c>
      <c r="B38" s="15" t="n">
        <f aca="false">COUNTIFS('My Catch Log'!$B$6:$B$155,$A38)</f>
        <v>0</v>
      </c>
      <c r="C38" s="15" t="n">
        <f aca="false">SUMIFS('My Catch Log'!$C$6:$C$155,'My Catch Log'!$B$6:$B$155,$A38)</f>
        <v>0</v>
      </c>
      <c r="D38" s="15" t="n">
        <f aca="false">SUMPRODUCT(('My Catch Log'!$B$6:$B$155=$A38)*('My Catch Log'!$Q$6:$Q$155)*('My Catch Log'!$C$6:$C$155))</f>
        <v>0</v>
      </c>
      <c r="E38" s="15" t="n">
        <f aca="false">SUMIFS('My Catch Log'!$N$6:$N$155,'My Catch Log'!$B$6:$B$155,$A38)</f>
        <v>0</v>
      </c>
      <c r="F38" s="15" t="n">
        <f aca="false">SUMIFS('My Catch Log'!$O$6:$O$155,'My Catch Log'!$B$6:$B$155,$A38)</f>
        <v>0</v>
      </c>
      <c r="G38" s="15" t="n">
        <f aca="false">SUMIFS('My Catch Log'!$P$6:$P$155,'My Catch Log'!$B$6:$B$155,$A38)</f>
        <v>0</v>
      </c>
    </row>
    <row r="39" customFormat="false" ht="15" hidden="false" customHeight="false" outlineLevel="0" collapsed="false">
      <c r="A39" s="15" t="s">
        <v>41</v>
      </c>
      <c r="B39" s="15" t="n">
        <f aca="false">COUNTIFS('My Catch Log'!$B$6:$B$155,$A39)</f>
        <v>0</v>
      </c>
      <c r="C39" s="15" t="n">
        <f aca="false">SUMIFS('My Catch Log'!$C$6:$C$155,'My Catch Log'!$B$6:$B$155,$A39)</f>
        <v>0</v>
      </c>
      <c r="D39" s="15" t="n">
        <f aca="false">SUMPRODUCT(('My Catch Log'!$B$6:$B$155=$A39)*('My Catch Log'!$Q$6:$Q$155)*('My Catch Log'!$C$6:$C$155))</f>
        <v>0</v>
      </c>
      <c r="E39" s="15" t="n">
        <f aca="false">SUMIFS('My Catch Log'!$N$6:$N$155,'My Catch Log'!$B$6:$B$155,$A39)</f>
        <v>0</v>
      </c>
      <c r="F39" s="15" t="n">
        <f aca="false">SUMIFS('My Catch Log'!$O$6:$O$155,'My Catch Log'!$B$6:$B$155,$A39)</f>
        <v>0</v>
      </c>
      <c r="G39" s="15" t="n">
        <f aca="false">SUMIFS('My Catch Log'!$P$6:$P$155,'My Catch Log'!$B$6:$B$155,$A39)</f>
        <v>0</v>
      </c>
    </row>
    <row r="40" customFormat="false" ht="15" hidden="false" customHeight="false" outlineLevel="0" collapsed="false">
      <c r="A40" s="15" t="s">
        <v>42</v>
      </c>
      <c r="B40" s="15" t="n">
        <f aca="false">COUNTIFS('My Catch Log'!$B$6:$B$155,$A40)</f>
        <v>0</v>
      </c>
      <c r="C40" s="15" t="n">
        <f aca="false">SUMIFS('My Catch Log'!$C$6:$C$155,'My Catch Log'!$B$6:$B$155,$A40)</f>
        <v>0</v>
      </c>
      <c r="D40" s="15" t="n">
        <f aca="false">SUMPRODUCT(('My Catch Log'!$B$6:$B$155=$A40)*('My Catch Log'!$Q$6:$Q$155)*('My Catch Log'!$C$6:$C$155))</f>
        <v>0</v>
      </c>
      <c r="E40" s="15" t="n">
        <f aca="false">SUMIFS('My Catch Log'!$N$6:$N$155,'My Catch Log'!$B$6:$B$155,$A40)</f>
        <v>0</v>
      </c>
      <c r="F40" s="15" t="n">
        <f aca="false">SUMIFS('My Catch Log'!$O$6:$O$155,'My Catch Log'!$B$6:$B$155,$A40)</f>
        <v>0</v>
      </c>
      <c r="G40" s="15" t="n">
        <f aca="false">SUMIFS('My Catch Log'!$P$6:$P$155,'My Catch Log'!$B$6:$B$155,$A40)</f>
        <v>0</v>
      </c>
    </row>
    <row r="41" customFormat="false" ht="15" hidden="false" customHeight="false" outlineLevel="0" collapsed="false">
      <c r="A41" s="3" t="s">
        <v>84</v>
      </c>
    </row>
  </sheetData>
  <dataValidations count="1">
    <dataValidation allowBlank="false" errorStyle="stop" operator="between" showDropDown="false" showErrorMessage="false" showInputMessage="false" sqref="B4" type="list">
      <formula1>"cash,card"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0"/>
    <col collapsed="false" customWidth="true" hidden="false" outlineLevel="0" max="5" min="5" style="0" width="9"/>
    <col collapsed="false" customWidth="true" hidden="false" outlineLevel="0" max="6" min="6" style="0" width="5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85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86</v>
      </c>
    </row>
    <row r="4" customFormat="false" ht="15" hidden="false" customHeight="false" outlineLevel="0" collapsed="false">
      <c r="A4" s="4" t="s">
        <v>65</v>
      </c>
      <c r="B4" s="17" t="s">
        <v>66</v>
      </c>
    </row>
    <row r="6" customFormat="false" ht="15" hidden="false" customHeight="false" outlineLevel="0" collapsed="false">
      <c r="A6" s="12" t="s">
        <v>30</v>
      </c>
      <c r="B6" s="12" t="s">
        <v>49</v>
      </c>
      <c r="C6" s="12" t="s">
        <v>50</v>
      </c>
      <c r="D6" s="12" t="s">
        <v>51</v>
      </c>
      <c r="E6" s="12" t="s">
        <v>52</v>
      </c>
      <c r="F6" s="12" t="s">
        <v>53</v>
      </c>
      <c r="G6" s="12" t="s">
        <v>54</v>
      </c>
      <c r="H6" s="12" t="s">
        <v>55</v>
      </c>
      <c r="I6" s="12" t="s">
        <v>56</v>
      </c>
      <c r="J6" s="12" t="s">
        <v>57</v>
      </c>
    </row>
    <row r="7" customFormat="false" ht="15" hidden="false" customHeight="false" outlineLevel="0" collapsed="false">
      <c r="A7" s="14"/>
      <c r="B7" s="14"/>
      <c r="C7" s="14"/>
      <c r="D7" s="14"/>
      <c r="E7" s="14"/>
      <c r="F7" s="15" t="str">
        <f aca="false">IF($A7="","",IF($L7=0,"✗ unknown species",IF($M7+$N7+$O7&gt;$B7,"✗ allocated more than fish weight",IF($C7+$D7+$E7&gt;$M7+$N7+$O7,"✗ some value-added not applied — 15 lb min per fish / species not eligible — bills as fillet",IF(AND(INDEX(Rates!$B$27:$B$35,$L7)=1,$B7&gt;=Rates!$B$24,$B7&lt;=Rates!$C$24),"~ borderline 10–14 lb — tier may flip at the scale","✓")))))</f>
        <v/>
      </c>
      <c r="G7" s="15" t="str">
        <f aca="false">IF($A7="","",IF($P7=1,"under-12",""))</f>
        <v/>
      </c>
      <c r="H7" s="15" t="str">
        <f aca="false">IF($L7=0,"",MAX(0,$B7-($M7+$N7+$O7)))</f>
        <v/>
      </c>
      <c r="I7" s="16" t="n">
        <f aca="false">IF($L7=0,0,MAX(0,$B7-($M7+$N7+$O7))*IF($P7=1,Rates!$B$7,Rates!$B$6)+$M7*Rates!$B$8+$N7*Rates!$B$9+$O7*Rates!$B$10)</f>
        <v>0</v>
      </c>
      <c r="J7" s="16" t="n">
        <f aca="false">IF($L7=0,0,MAX(0,$B7-($M7+$N7+$O7))*IF($P7=1,Rates!$C$7,Rates!$C$6)+$M7*Rates!$C$8+$N7*Rates!$C$9+$O7*Rates!$C$10)</f>
        <v>0</v>
      </c>
      <c r="L7" s="3" t="n">
        <f aca="false">IFERROR(MATCH($A7,Rates!$A$27:$A$35,0),0)</f>
        <v>0</v>
      </c>
      <c r="M7" s="3" t="n">
        <f aca="false">IF($L7=0,0,IF(AND(INDEX(Rates!$C$27:$C$35,$L7)=1,$C7&gt;=Rates!$B$22),$C7,0))</f>
        <v>0</v>
      </c>
      <c r="N7" s="3" t="n">
        <f aca="false">IF($L7=0,0,IF(AND(INDEX(Rates!$D$27:$D$35,$L7)=1,$D7&gt;=Rates!$B$22),$D7,0))</f>
        <v>0</v>
      </c>
      <c r="O7" s="3" t="n">
        <f aca="false">IF($L7=0,0,IF(AND(INDEX(Rates!$E$27:$E$35,$L7)=1,$E7&gt;=Rates!$B$22),$E7,0))</f>
        <v>0</v>
      </c>
      <c r="P7" s="3" t="n">
        <f aca="false">IF($L7=0,0,IF(AND(INDEX(Rates!$B$27:$B$35,$L7)=1,$B7&lt;Rates!$B$23),1,0))</f>
        <v>0</v>
      </c>
    </row>
    <row r="8" customFormat="false" ht="15" hidden="false" customHeight="false" outlineLevel="0" collapsed="false">
      <c r="A8" s="14"/>
      <c r="B8" s="14"/>
      <c r="C8" s="14"/>
      <c r="D8" s="14"/>
      <c r="E8" s="14"/>
      <c r="F8" s="15" t="str">
        <f aca="false">IF($A8="","",IF($L8=0,"✗ unknown species",IF($M8+$N8+$O8&gt;$B8,"✗ allocated more than fish weight",IF($C8+$D8+$E8&gt;$M8+$N8+$O8,"✗ some value-added not applied — 15 lb min per fish / species not eligible — bills as fillet",IF(AND(INDEX(Rates!$B$27:$B$35,$L8)=1,$B8&gt;=Rates!$B$24,$B8&lt;=Rates!$C$24),"~ borderline 10–14 lb — tier may flip at the scale","✓")))))</f>
        <v/>
      </c>
      <c r="G8" s="15" t="str">
        <f aca="false">IF($A8="","",IF($P8=1,"under-12",""))</f>
        <v/>
      </c>
      <c r="H8" s="15" t="str">
        <f aca="false">IF($L8=0,"",MAX(0,$B8-($M8+$N8+$O8)))</f>
        <v/>
      </c>
      <c r="I8" s="16" t="n">
        <f aca="false">IF($L8=0,0,MAX(0,$B8-($M8+$N8+$O8))*IF($P8=1,Rates!$B$7,Rates!$B$6)+$M8*Rates!$B$8+$N8*Rates!$B$9+$O8*Rates!$B$10)</f>
        <v>0</v>
      </c>
      <c r="J8" s="16" t="n">
        <f aca="false">IF($L8=0,0,MAX(0,$B8-($M8+$N8+$O8))*IF($P8=1,Rates!$C$7,Rates!$C$6)+$M8*Rates!$C$8+$N8*Rates!$C$9+$O8*Rates!$C$10)</f>
        <v>0</v>
      </c>
      <c r="L8" s="3" t="n">
        <f aca="false">IFERROR(MATCH($A8,Rates!$A$27:$A$35,0),0)</f>
        <v>0</v>
      </c>
      <c r="M8" s="3" t="n">
        <f aca="false">IF($L8=0,0,IF(AND(INDEX(Rates!$C$27:$C$35,$L8)=1,$C8&gt;=Rates!$B$22),$C8,0))</f>
        <v>0</v>
      </c>
      <c r="N8" s="3" t="n">
        <f aca="false">IF($L8=0,0,IF(AND(INDEX(Rates!$D$27:$D$35,$L8)=1,$D8&gt;=Rates!$B$22),$D8,0))</f>
        <v>0</v>
      </c>
      <c r="O8" s="3" t="n">
        <f aca="false">IF($L8=0,0,IF(AND(INDEX(Rates!$E$27:$E$35,$L8)=1,$E8&gt;=Rates!$B$22),$E8,0))</f>
        <v>0</v>
      </c>
      <c r="P8" s="3" t="n">
        <f aca="false">IF($L8=0,0,IF(AND(INDEX(Rates!$B$27:$B$35,$L8)=1,$B8&lt;Rates!$B$23),1,0))</f>
        <v>0</v>
      </c>
    </row>
    <row r="9" customFormat="false" ht="15" hidden="false" customHeight="false" outlineLevel="0" collapsed="false">
      <c r="A9" s="14"/>
      <c r="B9" s="14"/>
      <c r="C9" s="14"/>
      <c r="D9" s="14"/>
      <c r="E9" s="14"/>
      <c r="F9" s="15" t="str">
        <f aca="false">IF($A9="","",IF($L9=0,"✗ unknown species",IF($M9+$N9+$O9&gt;$B9,"✗ allocated more than fish weight",IF($C9+$D9+$E9&gt;$M9+$N9+$O9,"✗ some value-added not applied — 15 lb min per fish / species not eligible — bills as fillet",IF(AND(INDEX(Rates!$B$27:$B$35,$L9)=1,$B9&gt;=Rates!$B$24,$B9&lt;=Rates!$C$24),"~ borderline 10–14 lb — tier may flip at the scale","✓")))))</f>
        <v/>
      </c>
      <c r="G9" s="15" t="str">
        <f aca="false">IF($A9="","",IF($P9=1,"under-12",""))</f>
        <v/>
      </c>
      <c r="H9" s="15" t="str">
        <f aca="false">IF($L9=0,"",MAX(0,$B9-($M9+$N9+$O9)))</f>
        <v/>
      </c>
      <c r="I9" s="16" t="n">
        <f aca="false">IF($L9=0,0,MAX(0,$B9-($M9+$N9+$O9))*IF($P9=1,Rates!$B$7,Rates!$B$6)+$M9*Rates!$B$8+$N9*Rates!$B$9+$O9*Rates!$B$10)</f>
        <v>0</v>
      </c>
      <c r="J9" s="16" t="n">
        <f aca="false">IF($L9=0,0,MAX(0,$B9-($M9+$N9+$O9))*IF($P9=1,Rates!$C$7,Rates!$C$6)+$M9*Rates!$C$8+$N9*Rates!$C$9+$O9*Rates!$C$10)</f>
        <v>0</v>
      </c>
      <c r="L9" s="3" t="n">
        <f aca="false">IFERROR(MATCH($A9,Rates!$A$27:$A$35,0),0)</f>
        <v>0</v>
      </c>
      <c r="M9" s="3" t="n">
        <f aca="false">IF($L9=0,0,IF(AND(INDEX(Rates!$C$27:$C$35,$L9)=1,$C9&gt;=Rates!$B$22),$C9,0))</f>
        <v>0</v>
      </c>
      <c r="N9" s="3" t="n">
        <f aca="false">IF($L9=0,0,IF(AND(INDEX(Rates!$D$27:$D$35,$L9)=1,$D9&gt;=Rates!$B$22),$D9,0))</f>
        <v>0</v>
      </c>
      <c r="O9" s="3" t="n">
        <f aca="false">IF($L9=0,0,IF(AND(INDEX(Rates!$E$27:$E$35,$L9)=1,$E9&gt;=Rates!$B$22),$E9,0))</f>
        <v>0</v>
      </c>
      <c r="P9" s="3" t="n">
        <f aca="false">IF($L9=0,0,IF(AND(INDEX(Rates!$B$27:$B$35,$L9)=1,$B9&lt;Rates!$B$23),1,0))</f>
        <v>0</v>
      </c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5" t="str">
        <f aca="false">IF($A10="","",IF($L10=0,"✗ unknown species",IF($M10+$N10+$O10&gt;$B10,"✗ allocated more than fish weight",IF($C10+$D10+$E10&gt;$M10+$N10+$O10,"✗ some value-added not applied — 15 lb min per fish / species not eligible — bills as fillet",IF(AND(INDEX(Rates!$B$27:$B$35,$L10)=1,$B10&gt;=Rates!$B$24,$B10&lt;=Rates!$C$24),"~ borderline 10–14 lb — tier may flip at the scale","✓")))))</f>
        <v/>
      </c>
      <c r="G10" s="15" t="str">
        <f aca="false">IF($A10="","",IF($P10=1,"under-12",""))</f>
        <v/>
      </c>
      <c r="H10" s="15" t="str">
        <f aca="false">IF($L10=0,"",MAX(0,$B10-($M10+$N10+$O10)))</f>
        <v/>
      </c>
      <c r="I10" s="16" t="n">
        <f aca="false">IF($L10=0,0,MAX(0,$B10-($M10+$N10+$O10))*IF($P10=1,Rates!$B$7,Rates!$B$6)+$M10*Rates!$B$8+$N10*Rates!$B$9+$O10*Rates!$B$10)</f>
        <v>0</v>
      </c>
      <c r="J10" s="16" t="n">
        <f aca="false">IF($L10=0,0,MAX(0,$B10-($M10+$N10+$O10))*IF($P10=1,Rates!$C$7,Rates!$C$6)+$M10*Rates!$C$8+$N10*Rates!$C$9+$O10*Rates!$C$10)</f>
        <v>0</v>
      </c>
      <c r="L10" s="3" t="n">
        <f aca="false">IFERROR(MATCH($A10,Rates!$A$27:$A$35,0),0)</f>
        <v>0</v>
      </c>
      <c r="M10" s="3" t="n">
        <f aca="false">IF($L10=0,0,IF(AND(INDEX(Rates!$C$27:$C$35,$L10)=1,$C10&gt;=Rates!$B$22),$C10,0))</f>
        <v>0</v>
      </c>
      <c r="N10" s="3" t="n">
        <f aca="false">IF($L10=0,0,IF(AND(INDEX(Rates!$D$27:$D$35,$L10)=1,$D10&gt;=Rates!$B$22),$D10,0))</f>
        <v>0</v>
      </c>
      <c r="O10" s="3" t="n">
        <f aca="false">IF($L10=0,0,IF(AND(INDEX(Rates!$E$27:$E$35,$L10)=1,$E10&gt;=Rates!$B$22),$E10,0))</f>
        <v>0</v>
      </c>
      <c r="P10" s="3" t="n">
        <f aca="false">IF($L10=0,0,IF(AND(INDEX(Rates!$B$27:$B$35,$L10)=1,$B10&lt;Rates!$B$23),1,0))</f>
        <v>0</v>
      </c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5" t="str">
        <f aca="false">IF($A11="","",IF($L11=0,"✗ unknown species",IF($M11+$N11+$O11&gt;$B11,"✗ allocated more than fish weight",IF($C11+$D11+$E11&gt;$M11+$N11+$O11,"✗ some value-added not applied — 15 lb min per fish / species not eligible — bills as fillet",IF(AND(INDEX(Rates!$B$27:$B$35,$L11)=1,$B11&gt;=Rates!$B$24,$B11&lt;=Rates!$C$24),"~ borderline 10–14 lb — tier may flip at the scale","✓")))))</f>
        <v/>
      </c>
      <c r="G11" s="15" t="str">
        <f aca="false">IF($A11="","",IF($P11=1,"under-12",""))</f>
        <v/>
      </c>
      <c r="H11" s="15" t="str">
        <f aca="false">IF($L11=0,"",MAX(0,$B11-($M11+$N11+$O11)))</f>
        <v/>
      </c>
      <c r="I11" s="16" t="n">
        <f aca="false">IF($L11=0,0,MAX(0,$B11-($M11+$N11+$O11))*IF($P11=1,Rates!$B$7,Rates!$B$6)+$M11*Rates!$B$8+$N11*Rates!$B$9+$O11*Rates!$B$10)</f>
        <v>0</v>
      </c>
      <c r="J11" s="16" t="n">
        <f aca="false">IF($L11=0,0,MAX(0,$B11-($M11+$N11+$O11))*IF($P11=1,Rates!$C$7,Rates!$C$6)+$M11*Rates!$C$8+$N11*Rates!$C$9+$O11*Rates!$C$10)</f>
        <v>0</v>
      </c>
      <c r="L11" s="3" t="n">
        <f aca="false">IFERROR(MATCH($A11,Rates!$A$27:$A$35,0),0)</f>
        <v>0</v>
      </c>
      <c r="M11" s="3" t="n">
        <f aca="false">IF($L11=0,0,IF(AND(INDEX(Rates!$C$27:$C$35,$L11)=1,$C11&gt;=Rates!$B$22),$C11,0))</f>
        <v>0</v>
      </c>
      <c r="N11" s="3" t="n">
        <f aca="false">IF($L11=0,0,IF(AND(INDEX(Rates!$D$27:$D$35,$L11)=1,$D11&gt;=Rates!$B$22),$D11,0))</f>
        <v>0</v>
      </c>
      <c r="O11" s="3" t="n">
        <f aca="false">IF($L11=0,0,IF(AND(INDEX(Rates!$E$27:$E$35,$L11)=1,$E11&gt;=Rates!$B$22),$E11,0))</f>
        <v>0</v>
      </c>
      <c r="P11" s="3" t="n">
        <f aca="false">IF($L11=0,0,IF(AND(INDEX(Rates!$B$27:$B$35,$L11)=1,$B11&lt;Rates!$B$23),1,0))</f>
        <v>0</v>
      </c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5" t="str">
        <f aca="false">IF($A12="","",IF($L12=0,"✗ unknown species",IF($M12+$N12+$O12&gt;$B12,"✗ allocated more than fish weight",IF($C12+$D12+$E12&gt;$M12+$N12+$O12,"✗ some value-added not applied — 15 lb min per fish / species not eligible — bills as fillet",IF(AND(INDEX(Rates!$B$27:$B$35,$L12)=1,$B12&gt;=Rates!$B$24,$B12&lt;=Rates!$C$24),"~ borderline 10–14 lb — tier may flip at the scale","✓")))))</f>
        <v/>
      </c>
      <c r="G12" s="15" t="str">
        <f aca="false">IF($A12="","",IF($P12=1,"under-12",""))</f>
        <v/>
      </c>
      <c r="H12" s="15" t="str">
        <f aca="false">IF($L12=0,"",MAX(0,$B12-($M12+$N12+$O12)))</f>
        <v/>
      </c>
      <c r="I12" s="16" t="n">
        <f aca="false">IF($L12=0,0,MAX(0,$B12-($M12+$N12+$O12))*IF($P12=1,Rates!$B$7,Rates!$B$6)+$M12*Rates!$B$8+$N12*Rates!$B$9+$O12*Rates!$B$10)</f>
        <v>0</v>
      </c>
      <c r="J12" s="16" t="n">
        <f aca="false">IF($L12=0,0,MAX(0,$B12-($M12+$N12+$O12))*IF($P12=1,Rates!$C$7,Rates!$C$6)+$M12*Rates!$C$8+$N12*Rates!$C$9+$O12*Rates!$C$10)</f>
        <v>0</v>
      </c>
      <c r="L12" s="3" t="n">
        <f aca="false">IFERROR(MATCH($A12,Rates!$A$27:$A$35,0),0)</f>
        <v>0</v>
      </c>
      <c r="M12" s="3" t="n">
        <f aca="false">IF($L12=0,0,IF(AND(INDEX(Rates!$C$27:$C$35,$L12)=1,$C12&gt;=Rates!$B$22),$C12,0))</f>
        <v>0</v>
      </c>
      <c r="N12" s="3" t="n">
        <f aca="false">IF($L12=0,0,IF(AND(INDEX(Rates!$D$27:$D$35,$L12)=1,$D12&gt;=Rates!$B$22),$D12,0))</f>
        <v>0</v>
      </c>
      <c r="O12" s="3" t="n">
        <f aca="false">IF($L12=0,0,IF(AND(INDEX(Rates!$E$27:$E$35,$L12)=1,$E12&gt;=Rates!$B$22),$E12,0))</f>
        <v>0</v>
      </c>
      <c r="P12" s="3" t="n">
        <f aca="false">IF($L12=0,0,IF(AND(INDEX(Rates!$B$27:$B$35,$L12)=1,$B12&lt;Rates!$B$23),1,0))</f>
        <v>0</v>
      </c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5" t="str">
        <f aca="false">IF($A13="","",IF($L13=0,"✗ unknown species",IF($M13+$N13+$O13&gt;$B13,"✗ allocated more than fish weight",IF($C13+$D13+$E13&gt;$M13+$N13+$O13,"✗ some value-added not applied — 15 lb min per fish / species not eligible — bills as fillet",IF(AND(INDEX(Rates!$B$27:$B$35,$L13)=1,$B13&gt;=Rates!$B$24,$B13&lt;=Rates!$C$24),"~ borderline 10–14 lb — tier may flip at the scale","✓")))))</f>
        <v/>
      </c>
      <c r="G13" s="15" t="str">
        <f aca="false">IF($A13="","",IF($P13=1,"under-12",""))</f>
        <v/>
      </c>
      <c r="H13" s="15" t="str">
        <f aca="false">IF($L13=0,"",MAX(0,$B13-($M13+$N13+$O13)))</f>
        <v/>
      </c>
      <c r="I13" s="16" t="n">
        <f aca="false">IF($L13=0,0,MAX(0,$B13-($M13+$N13+$O13))*IF($P13=1,Rates!$B$7,Rates!$B$6)+$M13*Rates!$B$8+$N13*Rates!$B$9+$O13*Rates!$B$10)</f>
        <v>0</v>
      </c>
      <c r="J13" s="16" t="n">
        <f aca="false">IF($L13=0,0,MAX(0,$B13-($M13+$N13+$O13))*IF($P13=1,Rates!$C$7,Rates!$C$6)+$M13*Rates!$C$8+$N13*Rates!$C$9+$O13*Rates!$C$10)</f>
        <v>0</v>
      </c>
      <c r="L13" s="3" t="n">
        <f aca="false">IFERROR(MATCH($A13,Rates!$A$27:$A$35,0),0)</f>
        <v>0</v>
      </c>
      <c r="M13" s="3" t="n">
        <f aca="false">IF($L13=0,0,IF(AND(INDEX(Rates!$C$27:$C$35,$L13)=1,$C13&gt;=Rates!$B$22),$C13,0))</f>
        <v>0</v>
      </c>
      <c r="N13" s="3" t="n">
        <f aca="false">IF($L13=0,0,IF(AND(INDEX(Rates!$D$27:$D$35,$L13)=1,$D13&gt;=Rates!$B$22),$D13,0))</f>
        <v>0</v>
      </c>
      <c r="O13" s="3" t="n">
        <f aca="false">IF($L13=0,0,IF(AND(INDEX(Rates!$E$27:$E$35,$L13)=1,$E13&gt;=Rates!$B$22),$E13,0))</f>
        <v>0</v>
      </c>
      <c r="P13" s="3" t="n">
        <f aca="false">IF($L13=0,0,IF(AND(INDEX(Rates!$B$27:$B$35,$L13)=1,$B13&lt;Rates!$B$23),1,0))</f>
        <v>0</v>
      </c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5" t="str">
        <f aca="false">IF($A14="","",IF($L14=0,"✗ unknown species",IF($M14+$N14+$O14&gt;$B14,"✗ allocated more than fish weight",IF($C14+$D14+$E14&gt;$M14+$N14+$O14,"✗ some value-added not applied — 15 lb min per fish / species not eligible — bills as fillet",IF(AND(INDEX(Rates!$B$27:$B$35,$L14)=1,$B14&gt;=Rates!$B$24,$B14&lt;=Rates!$C$24),"~ borderline 10–14 lb — tier may flip at the scale","✓")))))</f>
        <v/>
      </c>
      <c r="G14" s="15" t="str">
        <f aca="false">IF($A14="","",IF($P14=1,"under-12",""))</f>
        <v/>
      </c>
      <c r="H14" s="15" t="str">
        <f aca="false">IF($L14=0,"",MAX(0,$B14-($M14+$N14+$O14)))</f>
        <v/>
      </c>
      <c r="I14" s="16" t="n">
        <f aca="false">IF($L14=0,0,MAX(0,$B14-($M14+$N14+$O14))*IF($P14=1,Rates!$B$7,Rates!$B$6)+$M14*Rates!$B$8+$N14*Rates!$B$9+$O14*Rates!$B$10)</f>
        <v>0</v>
      </c>
      <c r="J14" s="16" t="n">
        <f aca="false">IF($L14=0,0,MAX(0,$B14-($M14+$N14+$O14))*IF($P14=1,Rates!$C$7,Rates!$C$6)+$M14*Rates!$C$8+$N14*Rates!$C$9+$O14*Rates!$C$10)</f>
        <v>0</v>
      </c>
      <c r="L14" s="3" t="n">
        <f aca="false">IFERROR(MATCH($A14,Rates!$A$27:$A$35,0),0)</f>
        <v>0</v>
      </c>
      <c r="M14" s="3" t="n">
        <f aca="false">IF($L14=0,0,IF(AND(INDEX(Rates!$C$27:$C$35,$L14)=1,$C14&gt;=Rates!$B$22),$C14,0))</f>
        <v>0</v>
      </c>
      <c r="N14" s="3" t="n">
        <f aca="false">IF($L14=0,0,IF(AND(INDEX(Rates!$D$27:$D$35,$L14)=1,$D14&gt;=Rates!$B$22),$D14,0))</f>
        <v>0</v>
      </c>
      <c r="O14" s="3" t="n">
        <f aca="false">IF($L14=0,0,IF(AND(INDEX(Rates!$E$27:$E$35,$L14)=1,$E14&gt;=Rates!$B$22),$E14,0))</f>
        <v>0</v>
      </c>
      <c r="P14" s="3" t="n">
        <f aca="false">IF($L14=0,0,IF(AND(INDEX(Rates!$B$27:$B$35,$L14)=1,$B14&lt;Rates!$B$23),1,0))</f>
        <v>0</v>
      </c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5" t="str">
        <f aca="false">IF($A15="","",IF($L15=0,"✗ unknown species",IF($M15+$N15+$O15&gt;$B15,"✗ allocated more than fish weight",IF($C15+$D15+$E15&gt;$M15+$N15+$O15,"✗ some value-added not applied — 15 lb min per fish / species not eligible — bills as fillet",IF(AND(INDEX(Rates!$B$27:$B$35,$L15)=1,$B15&gt;=Rates!$B$24,$B15&lt;=Rates!$C$24),"~ borderline 10–14 lb — tier may flip at the scale","✓")))))</f>
        <v/>
      </c>
      <c r="G15" s="15" t="str">
        <f aca="false">IF($A15="","",IF($P15=1,"under-12",""))</f>
        <v/>
      </c>
      <c r="H15" s="15" t="str">
        <f aca="false">IF($L15=0,"",MAX(0,$B15-($M15+$N15+$O15)))</f>
        <v/>
      </c>
      <c r="I15" s="16" t="n">
        <f aca="false">IF($L15=0,0,MAX(0,$B15-($M15+$N15+$O15))*IF($P15=1,Rates!$B$7,Rates!$B$6)+$M15*Rates!$B$8+$N15*Rates!$B$9+$O15*Rates!$B$10)</f>
        <v>0</v>
      </c>
      <c r="J15" s="16" t="n">
        <f aca="false">IF($L15=0,0,MAX(0,$B15-($M15+$N15+$O15))*IF($P15=1,Rates!$C$7,Rates!$C$6)+$M15*Rates!$C$8+$N15*Rates!$C$9+$O15*Rates!$C$10)</f>
        <v>0</v>
      </c>
      <c r="L15" s="3" t="n">
        <f aca="false">IFERROR(MATCH($A15,Rates!$A$27:$A$35,0),0)</f>
        <v>0</v>
      </c>
      <c r="M15" s="3" t="n">
        <f aca="false">IF($L15=0,0,IF(AND(INDEX(Rates!$C$27:$C$35,$L15)=1,$C15&gt;=Rates!$B$22),$C15,0))</f>
        <v>0</v>
      </c>
      <c r="N15" s="3" t="n">
        <f aca="false">IF($L15=0,0,IF(AND(INDEX(Rates!$D$27:$D$35,$L15)=1,$D15&gt;=Rates!$B$22),$D15,0))</f>
        <v>0</v>
      </c>
      <c r="O15" s="3" t="n">
        <f aca="false">IF($L15=0,0,IF(AND(INDEX(Rates!$E$27:$E$35,$L15)=1,$E15&gt;=Rates!$B$22),$E15,0))</f>
        <v>0</v>
      </c>
      <c r="P15" s="3" t="n">
        <f aca="false">IF($L15=0,0,IF(AND(INDEX(Rates!$B$27:$B$35,$L15)=1,$B15&lt;Rates!$B$23),1,0))</f>
        <v>0</v>
      </c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5" t="str">
        <f aca="false">IF($A16="","",IF($L16=0,"✗ unknown species",IF($M16+$N16+$O16&gt;$B16,"✗ allocated more than fish weight",IF($C16+$D16+$E16&gt;$M16+$N16+$O16,"✗ some value-added not applied — 15 lb min per fish / species not eligible — bills as fillet",IF(AND(INDEX(Rates!$B$27:$B$35,$L16)=1,$B16&gt;=Rates!$B$24,$B16&lt;=Rates!$C$24),"~ borderline 10–14 lb — tier may flip at the scale","✓")))))</f>
        <v/>
      </c>
      <c r="G16" s="15" t="str">
        <f aca="false">IF($A16="","",IF($P16=1,"under-12",""))</f>
        <v/>
      </c>
      <c r="H16" s="15" t="str">
        <f aca="false">IF($L16=0,"",MAX(0,$B16-($M16+$N16+$O16)))</f>
        <v/>
      </c>
      <c r="I16" s="16" t="n">
        <f aca="false">IF($L16=0,0,MAX(0,$B16-($M16+$N16+$O16))*IF($P16=1,Rates!$B$7,Rates!$B$6)+$M16*Rates!$B$8+$N16*Rates!$B$9+$O16*Rates!$B$10)</f>
        <v>0</v>
      </c>
      <c r="J16" s="16" t="n">
        <f aca="false">IF($L16=0,0,MAX(0,$B16-($M16+$N16+$O16))*IF($P16=1,Rates!$C$7,Rates!$C$6)+$M16*Rates!$C$8+$N16*Rates!$C$9+$O16*Rates!$C$10)</f>
        <v>0</v>
      </c>
      <c r="L16" s="3" t="n">
        <f aca="false">IFERROR(MATCH($A16,Rates!$A$27:$A$35,0),0)</f>
        <v>0</v>
      </c>
      <c r="M16" s="3" t="n">
        <f aca="false">IF($L16=0,0,IF(AND(INDEX(Rates!$C$27:$C$35,$L16)=1,$C16&gt;=Rates!$B$22),$C16,0))</f>
        <v>0</v>
      </c>
      <c r="N16" s="3" t="n">
        <f aca="false">IF($L16=0,0,IF(AND(INDEX(Rates!$D$27:$D$35,$L16)=1,$D16&gt;=Rates!$B$22),$D16,0))</f>
        <v>0</v>
      </c>
      <c r="O16" s="3" t="n">
        <f aca="false">IF($L16=0,0,IF(AND(INDEX(Rates!$E$27:$E$35,$L16)=1,$E16&gt;=Rates!$B$22),$E16,0))</f>
        <v>0</v>
      </c>
      <c r="P16" s="3" t="n">
        <f aca="false">IF($L16=0,0,IF(AND(INDEX(Rates!$B$27:$B$35,$L16)=1,$B16&lt;Rates!$B$23),1,0))</f>
        <v>0</v>
      </c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5" t="str">
        <f aca="false">IF($A17="","",IF($L17=0,"✗ unknown species",IF($M17+$N17+$O17&gt;$B17,"✗ allocated more than fish weight",IF($C17+$D17+$E17&gt;$M17+$N17+$O17,"✗ some value-added not applied — 15 lb min per fish / species not eligible — bills as fillet",IF(AND(INDEX(Rates!$B$27:$B$35,$L17)=1,$B17&gt;=Rates!$B$24,$B17&lt;=Rates!$C$24),"~ borderline 10–14 lb — tier may flip at the scale","✓")))))</f>
        <v/>
      </c>
      <c r="G17" s="15" t="str">
        <f aca="false">IF($A17="","",IF($P17=1,"under-12",""))</f>
        <v/>
      </c>
      <c r="H17" s="15" t="str">
        <f aca="false">IF($L17=0,"",MAX(0,$B17-($M17+$N17+$O17)))</f>
        <v/>
      </c>
      <c r="I17" s="16" t="n">
        <f aca="false">IF($L17=0,0,MAX(0,$B17-($M17+$N17+$O17))*IF($P17=1,Rates!$B$7,Rates!$B$6)+$M17*Rates!$B$8+$N17*Rates!$B$9+$O17*Rates!$B$10)</f>
        <v>0</v>
      </c>
      <c r="J17" s="16" t="n">
        <f aca="false">IF($L17=0,0,MAX(0,$B17-($M17+$N17+$O17))*IF($P17=1,Rates!$C$7,Rates!$C$6)+$M17*Rates!$C$8+$N17*Rates!$C$9+$O17*Rates!$C$10)</f>
        <v>0</v>
      </c>
      <c r="L17" s="3" t="n">
        <f aca="false">IFERROR(MATCH($A17,Rates!$A$27:$A$35,0),0)</f>
        <v>0</v>
      </c>
      <c r="M17" s="3" t="n">
        <f aca="false">IF($L17=0,0,IF(AND(INDEX(Rates!$C$27:$C$35,$L17)=1,$C17&gt;=Rates!$B$22),$C17,0))</f>
        <v>0</v>
      </c>
      <c r="N17" s="3" t="n">
        <f aca="false">IF($L17=0,0,IF(AND(INDEX(Rates!$D$27:$D$35,$L17)=1,$D17&gt;=Rates!$B$22),$D17,0))</f>
        <v>0</v>
      </c>
      <c r="O17" s="3" t="n">
        <f aca="false">IF($L17=0,0,IF(AND(INDEX(Rates!$E$27:$E$35,$L17)=1,$E17&gt;=Rates!$B$22),$E17,0))</f>
        <v>0</v>
      </c>
      <c r="P17" s="3" t="n">
        <f aca="false">IF($L17=0,0,IF(AND(INDEX(Rates!$B$27:$B$35,$L17)=1,$B17&lt;Rates!$B$23),1,0))</f>
        <v>0</v>
      </c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5" t="str">
        <f aca="false">IF($A18="","",IF($L18=0,"✗ unknown species",IF($M18+$N18+$O18&gt;$B18,"✗ allocated more than fish weight",IF($C18+$D18+$E18&gt;$M18+$N18+$O18,"✗ some value-added not applied — 15 lb min per fish / species not eligible — bills as fillet",IF(AND(INDEX(Rates!$B$27:$B$35,$L18)=1,$B18&gt;=Rates!$B$24,$B18&lt;=Rates!$C$24),"~ borderline 10–14 lb — tier may flip at the scale","✓")))))</f>
        <v/>
      </c>
      <c r="G18" s="15" t="str">
        <f aca="false">IF($A18="","",IF($P18=1,"under-12",""))</f>
        <v/>
      </c>
      <c r="H18" s="15" t="str">
        <f aca="false">IF($L18=0,"",MAX(0,$B18-($M18+$N18+$O18)))</f>
        <v/>
      </c>
      <c r="I18" s="16" t="n">
        <f aca="false">IF($L18=0,0,MAX(0,$B18-($M18+$N18+$O18))*IF($P18=1,Rates!$B$7,Rates!$B$6)+$M18*Rates!$B$8+$N18*Rates!$B$9+$O18*Rates!$B$10)</f>
        <v>0</v>
      </c>
      <c r="J18" s="16" t="n">
        <f aca="false">IF($L18=0,0,MAX(0,$B18-($M18+$N18+$O18))*IF($P18=1,Rates!$C$7,Rates!$C$6)+$M18*Rates!$C$8+$N18*Rates!$C$9+$O18*Rates!$C$10)</f>
        <v>0</v>
      </c>
      <c r="L18" s="3" t="n">
        <f aca="false">IFERROR(MATCH($A18,Rates!$A$27:$A$35,0),0)</f>
        <v>0</v>
      </c>
      <c r="M18" s="3" t="n">
        <f aca="false">IF($L18=0,0,IF(AND(INDEX(Rates!$C$27:$C$35,$L18)=1,$C18&gt;=Rates!$B$22),$C18,0))</f>
        <v>0</v>
      </c>
      <c r="N18" s="3" t="n">
        <f aca="false">IF($L18=0,0,IF(AND(INDEX(Rates!$D$27:$D$35,$L18)=1,$D18&gt;=Rates!$B$22),$D18,0))</f>
        <v>0</v>
      </c>
      <c r="O18" s="3" t="n">
        <f aca="false">IF($L18=0,0,IF(AND(INDEX(Rates!$E$27:$E$35,$L18)=1,$E18&gt;=Rates!$B$22),$E18,0))</f>
        <v>0</v>
      </c>
      <c r="P18" s="3" t="n">
        <f aca="false">IF($L18=0,0,IF(AND(INDEX(Rates!$B$27:$B$35,$L18)=1,$B18&lt;Rates!$B$23),1,0))</f>
        <v>0</v>
      </c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5" t="str">
        <f aca="false">IF($A19="","",IF($L19=0,"✗ unknown species",IF($M19+$N19+$O19&gt;$B19,"✗ allocated more than fish weight",IF($C19+$D19+$E19&gt;$M19+$N19+$O19,"✗ some value-added not applied — 15 lb min per fish / species not eligible — bills as fillet",IF(AND(INDEX(Rates!$B$27:$B$35,$L19)=1,$B19&gt;=Rates!$B$24,$B19&lt;=Rates!$C$24),"~ borderline 10–14 lb — tier may flip at the scale","✓")))))</f>
        <v/>
      </c>
      <c r="G19" s="15" t="str">
        <f aca="false">IF($A19="","",IF($P19=1,"under-12",""))</f>
        <v/>
      </c>
      <c r="H19" s="15" t="str">
        <f aca="false">IF($L19=0,"",MAX(0,$B19-($M19+$N19+$O19)))</f>
        <v/>
      </c>
      <c r="I19" s="16" t="n">
        <f aca="false">IF($L19=0,0,MAX(0,$B19-($M19+$N19+$O19))*IF($P19=1,Rates!$B$7,Rates!$B$6)+$M19*Rates!$B$8+$N19*Rates!$B$9+$O19*Rates!$B$10)</f>
        <v>0</v>
      </c>
      <c r="J19" s="16" t="n">
        <f aca="false">IF($L19=0,0,MAX(0,$B19-($M19+$N19+$O19))*IF($P19=1,Rates!$C$7,Rates!$C$6)+$M19*Rates!$C$8+$N19*Rates!$C$9+$O19*Rates!$C$10)</f>
        <v>0</v>
      </c>
      <c r="L19" s="3" t="n">
        <f aca="false">IFERROR(MATCH($A19,Rates!$A$27:$A$35,0),0)</f>
        <v>0</v>
      </c>
      <c r="M19" s="3" t="n">
        <f aca="false">IF($L19=0,0,IF(AND(INDEX(Rates!$C$27:$C$35,$L19)=1,$C19&gt;=Rates!$B$22),$C19,0))</f>
        <v>0</v>
      </c>
      <c r="N19" s="3" t="n">
        <f aca="false">IF($L19=0,0,IF(AND(INDEX(Rates!$D$27:$D$35,$L19)=1,$D19&gt;=Rates!$B$22),$D19,0))</f>
        <v>0</v>
      </c>
      <c r="O19" s="3" t="n">
        <f aca="false">IF($L19=0,0,IF(AND(INDEX(Rates!$E$27:$E$35,$L19)=1,$E19&gt;=Rates!$B$22),$E19,0))</f>
        <v>0</v>
      </c>
      <c r="P19" s="3" t="n">
        <f aca="false">IF($L19=0,0,IF(AND(INDEX(Rates!$B$27:$B$35,$L19)=1,$B19&lt;Rates!$B$23),1,0))</f>
        <v>0</v>
      </c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5" t="str">
        <f aca="false">IF($A20="","",IF($L20=0,"✗ unknown species",IF($M20+$N20+$O20&gt;$B20,"✗ allocated more than fish weight",IF($C20+$D20+$E20&gt;$M20+$N20+$O20,"✗ some value-added not applied — 15 lb min per fish / species not eligible — bills as fillet",IF(AND(INDEX(Rates!$B$27:$B$35,$L20)=1,$B20&gt;=Rates!$B$24,$B20&lt;=Rates!$C$24),"~ borderline 10–14 lb — tier may flip at the scale","✓")))))</f>
        <v/>
      </c>
      <c r="G20" s="15" t="str">
        <f aca="false">IF($A20="","",IF($P20=1,"under-12",""))</f>
        <v/>
      </c>
      <c r="H20" s="15" t="str">
        <f aca="false">IF($L20=0,"",MAX(0,$B20-($M20+$N20+$O20)))</f>
        <v/>
      </c>
      <c r="I20" s="16" t="n">
        <f aca="false">IF($L20=0,0,MAX(0,$B20-($M20+$N20+$O20))*IF($P20=1,Rates!$B$7,Rates!$B$6)+$M20*Rates!$B$8+$N20*Rates!$B$9+$O20*Rates!$B$10)</f>
        <v>0</v>
      </c>
      <c r="J20" s="16" t="n">
        <f aca="false">IF($L20=0,0,MAX(0,$B20-($M20+$N20+$O20))*IF($P20=1,Rates!$C$7,Rates!$C$6)+$M20*Rates!$C$8+$N20*Rates!$C$9+$O20*Rates!$C$10)</f>
        <v>0</v>
      </c>
      <c r="L20" s="3" t="n">
        <f aca="false">IFERROR(MATCH($A20,Rates!$A$27:$A$35,0),0)</f>
        <v>0</v>
      </c>
      <c r="M20" s="3" t="n">
        <f aca="false">IF($L20=0,0,IF(AND(INDEX(Rates!$C$27:$C$35,$L20)=1,$C20&gt;=Rates!$B$22),$C20,0))</f>
        <v>0</v>
      </c>
      <c r="N20" s="3" t="n">
        <f aca="false">IF($L20=0,0,IF(AND(INDEX(Rates!$D$27:$D$35,$L20)=1,$D20&gt;=Rates!$B$22),$D20,0))</f>
        <v>0</v>
      </c>
      <c r="O20" s="3" t="n">
        <f aca="false">IF($L20=0,0,IF(AND(INDEX(Rates!$E$27:$E$35,$L20)=1,$E20&gt;=Rates!$B$22),$E20,0))</f>
        <v>0</v>
      </c>
      <c r="P20" s="3" t="n">
        <f aca="false">IF($L20=0,0,IF(AND(INDEX(Rates!$B$27:$B$35,$L20)=1,$B20&lt;Rates!$B$23),1,0))</f>
        <v>0</v>
      </c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5" t="str">
        <f aca="false">IF($A21="","",IF($L21=0,"✗ unknown species",IF($M21+$N21+$O21&gt;$B21,"✗ allocated more than fish weight",IF($C21+$D21+$E21&gt;$M21+$N21+$O21,"✗ some value-added not applied — 15 lb min per fish / species not eligible — bills as fillet",IF(AND(INDEX(Rates!$B$27:$B$35,$L21)=1,$B21&gt;=Rates!$B$24,$B21&lt;=Rates!$C$24),"~ borderline 10–14 lb — tier may flip at the scale","✓")))))</f>
        <v/>
      </c>
      <c r="G21" s="15" t="str">
        <f aca="false">IF($A21="","",IF($P21=1,"under-12",""))</f>
        <v/>
      </c>
      <c r="H21" s="15" t="str">
        <f aca="false">IF($L21=0,"",MAX(0,$B21-($M21+$N21+$O21)))</f>
        <v/>
      </c>
      <c r="I21" s="16" t="n">
        <f aca="false">IF($L21=0,0,MAX(0,$B21-($M21+$N21+$O21))*IF($P21=1,Rates!$B$7,Rates!$B$6)+$M21*Rates!$B$8+$N21*Rates!$B$9+$O21*Rates!$B$10)</f>
        <v>0</v>
      </c>
      <c r="J21" s="16" t="n">
        <f aca="false">IF($L21=0,0,MAX(0,$B21-($M21+$N21+$O21))*IF($P21=1,Rates!$C$7,Rates!$C$6)+$M21*Rates!$C$8+$N21*Rates!$C$9+$O21*Rates!$C$10)</f>
        <v>0</v>
      </c>
      <c r="L21" s="3" t="n">
        <f aca="false">IFERROR(MATCH($A21,Rates!$A$27:$A$35,0),0)</f>
        <v>0</v>
      </c>
      <c r="M21" s="3" t="n">
        <f aca="false">IF($L21=0,0,IF(AND(INDEX(Rates!$C$27:$C$35,$L21)=1,$C21&gt;=Rates!$B$22),$C21,0))</f>
        <v>0</v>
      </c>
      <c r="N21" s="3" t="n">
        <f aca="false">IF($L21=0,0,IF(AND(INDEX(Rates!$D$27:$D$35,$L21)=1,$D21&gt;=Rates!$B$22),$D21,0))</f>
        <v>0</v>
      </c>
      <c r="O21" s="3" t="n">
        <f aca="false">IF($L21=0,0,IF(AND(INDEX(Rates!$E$27:$E$35,$L21)=1,$E21&gt;=Rates!$B$22),$E21,0))</f>
        <v>0</v>
      </c>
      <c r="P21" s="3" t="n">
        <f aca="false">IF($L21=0,0,IF(AND(INDEX(Rates!$B$27:$B$35,$L21)=1,$B21&lt;Rates!$B$23),1,0))</f>
        <v>0</v>
      </c>
    </row>
    <row r="23" customFormat="false" ht="15" hidden="false" customHeight="false" outlineLevel="0" collapsed="false">
      <c r="A23" s="7" t="s">
        <v>72</v>
      </c>
      <c r="B23" s="14" t="n">
        <v>0</v>
      </c>
    </row>
    <row r="24" customFormat="false" ht="15" hidden="false" customHeight="false" outlineLevel="0" collapsed="false">
      <c r="A24" s="7" t="s">
        <v>73</v>
      </c>
      <c r="B24" s="14" t="n">
        <v>0</v>
      </c>
    </row>
    <row r="25" customFormat="false" ht="15" hidden="false" customHeight="false" outlineLevel="0" collapsed="false">
      <c r="A25" s="7" t="s">
        <v>74</v>
      </c>
      <c r="B25" s="14" t="n">
        <v>0</v>
      </c>
    </row>
    <row r="27" customFormat="false" ht="15" hidden="false" customHeight="false" outlineLevel="0" collapsed="false">
      <c r="A27" s="6"/>
      <c r="B27" s="6" t="s">
        <v>5</v>
      </c>
      <c r="C27" s="6" t="s">
        <v>6</v>
      </c>
    </row>
    <row r="28" customFormat="false" ht="15" hidden="false" customHeight="false" outlineLevel="0" collapsed="false">
      <c r="A28" s="7" t="s">
        <v>75</v>
      </c>
      <c r="B28" s="19" t="n">
        <f aca="false">SUM(I7:I21)+$B$23*Rates!$B$11+$B$24*Rates!$B$12</f>
        <v>0</v>
      </c>
      <c r="C28" s="19" t="n">
        <f aca="false">SUM(J7:J21)+$B$23*Rates!$C$11+$B$24*Rates!$C$12</f>
        <v>0</v>
      </c>
    </row>
    <row r="29" customFormat="false" ht="15" hidden="false" customHeight="false" outlineLevel="0" collapsed="false">
      <c r="A29" s="7" t="s">
        <v>76</v>
      </c>
      <c r="B29" s="19" t="n">
        <f aca="false">IF($B$4="card",B28*Rates!$B$16,0)</f>
        <v>0</v>
      </c>
      <c r="C29" s="19" t="n">
        <f aca="false">IF($B$4="card",C28*Rates!$C$16,0)</f>
        <v>0</v>
      </c>
    </row>
    <row r="30" customFormat="false" ht="15" hidden="false" customHeight="false" outlineLevel="0" collapsed="false">
      <c r="A30" s="4" t="s">
        <v>77</v>
      </c>
      <c r="B30" s="19" t="n">
        <f aca="false">B28+B29</f>
        <v>0</v>
      </c>
      <c r="C30" s="19" t="n">
        <f aca="false">C28+C29</f>
        <v>0</v>
      </c>
    </row>
    <row r="31" customFormat="false" ht="15" hidden="false" customHeight="false" outlineLevel="0" collapsed="false">
      <c r="A31" s="7" t="s">
        <v>78</v>
      </c>
      <c r="B31" s="19" t="n">
        <f aca="false">B30-Rates!$B$15</f>
        <v>-100</v>
      </c>
      <c r="C31" s="19" t="n">
        <f aca="false">C30-Rates!$C$15</f>
        <v>0</v>
      </c>
    </row>
    <row r="32" customFormat="false" ht="15" hidden="false" customHeight="false" outlineLevel="0" collapsed="false">
      <c r="A32" s="7" t="s">
        <v>79</v>
      </c>
      <c r="B32" s="18" t="n">
        <f aca="false">IF($B$25&gt;0,$B$25*Rates!$B$18+Rates!$B$19+MAX(0,$B$25-2)*Rates!$B$20,0)</f>
        <v>0</v>
      </c>
      <c r="C32" s="3" t="s">
        <v>80</v>
      </c>
    </row>
    <row r="33" customFormat="false" ht="15" hidden="false" customHeight="false" outlineLevel="0" collapsed="false">
      <c r="A33" s="4" t="s">
        <v>81</v>
      </c>
      <c r="B33" s="20" t="str">
        <f aca="false">IF(AND(B28=0,C28=0),"",IF(B28&lt;C28-0.005,"Fisherman's",IF(C28&lt;B28-0.005,"Five Star","— tie —")))</f>
        <v/>
      </c>
    </row>
  </sheetData>
  <conditionalFormatting sqref="F7:F21">
    <cfRule type="containsText" priority="2" operator="containsText" aboveAverage="0" equalAverage="0" bottom="0" percent="0" rank="0" text="✗" dxfId="0">
      <formula>NOT(ISERROR(SEARCH("✗",F7)))</formula>
    </cfRule>
    <cfRule type="containsText" priority="3" operator="containsText" aboveAverage="0" equalAverage="0" bottom="0" percent="0" rank="0" text="~" dxfId="1">
      <formula>NOT(ISERROR(SEARCH("~",F7)))</formula>
    </cfRule>
  </conditionalFormatting>
  <dataValidations count="2">
    <dataValidation allowBlank="false" errorStyle="stop" operator="between" showDropDown="false" showErrorMessage="false" showInputMessage="false" sqref="B4" type="list">
      <formula1>"cash,card"</formula1>
      <formula2>0</formula2>
    </dataValidation>
    <dataValidation allowBlank="true" errorStyle="stop" operator="between" showDropDown="false" showErrorMessage="false" showInputMessage="false" sqref="A7:A21" type="list">
      <formula1>Rates!$A$27:$A$35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2026-07-12T21:32:31Z</dcterms:created>
  <dc:creator>openpyxl</dc:creator>
  <dc:description/>
  <dc:language>en-US</dc:language>
  <cp:lastModifiedBy/>
  <dcterms:modified xsi:type="dcterms:W3CDTF">2026-07-12T21:32:31Z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